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4" documentId="14_{8689FA1D-3816-4A8A-9A1B-989438EFBDA6}" xr6:coauthVersionLast="47" xr6:coauthVersionMax="47" xr10:uidLastSave="{427B8CA7-1EF0-40E1-91F1-2FEBAAB0B28A}"/>
  <bookViews>
    <workbookView xWindow="-120" yWindow="-120" windowWidth="20730" windowHeight="11040" activeTab="1" xr2:uid="{00000000-000D-0000-FFFF-FFFF00000000}"/>
  </bookViews>
  <sheets>
    <sheet name="Dataset" sheetId="1" r:id="rId1"/>
    <sheet name="Dataset cleaning" sheetId="3" r:id="rId2"/>
    <sheet name="Observa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H8" i="3" l="1"/>
  <c r="J17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M9" i="3"/>
  <c r="J9" i="3"/>
  <c r="I9" i="3"/>
  <c r="H9" i="3"/>
  <c r="G9" i="3"/>
  <c r="M8" i="3"/>
  <c r="J8" i="3"/>
  <c r="I8" i="3"/>
  <c r="G8" i="3"/>
  <c r="J7" i="3"/>
  <c r="I7" i="3"/>
  <c r="H7" i="3"/>
  <c r="G7" i="3"/>
  <c r="J6" i="3"/>
  <c r="I6" i="3"/>
  <c r="H6" i="3"/>
  <c r="G6" i="3"/>
  <c r="M5" i="3"/>
  <c r="J5" i="3"/>
  <c r="I5" i="3"/>
  <c r="H5" i="3"/>
  <c r="G5" i="3"/>
  <c r="M4" i="3"/>
  <c r="J4" i="3"/>
  <c r="I4" i="3"/>
  <c r="H4" i="3"/>
  <c r="G4" i="3"/>
  <c r="M3" i="3"/>
  <c r="J3" i="3"/>
  <c r="I3" i="3"/>
  <c r="H3" i="3"/>
  <c r="G3" i="3"/>
  <c r="M2" i="3"/>
  <c r="J2" i="3"/>
  <c r="I2" i="3"/>
  <c r="H2" i="3"/>
  <c r="G2" i="3"/>
  <c r="M1" i="3"/>
</calcChain>
</file>

<file path=xl/sharedStrings.xml><?xml version="1.0" encoding="utf-8"?>
<sst xmlns="http://schemas.openxmlformats.org/spreadsheetml/2006/main" count="330" uniqueCount="139">
  <si>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</si>
  <si>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</si>
  <si>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</si>
  <si>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</si>
  <si>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</si>
  <si>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</si>
  <si>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</si>
  <si>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</si>
  <si>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</si>
  <si>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</si>
  <si>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</si>
  <si>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</si>
  <si>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</si>
  <si>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</si>
  <si>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</si>
  <si>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</si>
  <si>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</si>
  <si>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</si>
  <si>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</si>
  <si>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</si>
  <si>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</si>
  <si>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</si>
  <si>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</si>
  <si>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</si>
  <si>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</si>
  <si>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</si>
  <si>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</si>
  <si>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</si>
  <si>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</si>
  <si>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</si>
  <si>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</si>
  <si>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</si>
  <si>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</si>
  <si>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</si>
  <si>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</si>
  <si>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</si>
  <si>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</si>
  <si>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</si>
  <si>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</si>
  <si>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</si>
  <si>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</si>
  <si>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</si>
  <si>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</si>
  <si>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</si>
  <si>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</si>
  <si>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</si>
  <si>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</si>
  <si>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</si>
  <si>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</si>
  <si>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</si>
  <si>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</si>
  <si>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</si>
  <si>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</si>
  <si>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</si>
  <si>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</si>
  <si>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</si>
  <si>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</si>
  <si>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</si>
  <si>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</si>
  <si>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</si>
  <si>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</si>
  <si>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</si>
  <si>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</si>
  <si>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</si>
  <si>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</si>
  <si>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</si>
  <si>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</si>
  <si>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</si>
  <si>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</si>
  <si>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</si>
  <si>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</si>
  <si>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</si>
  <si>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</si>
  <si>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</si>
  <si>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</si>
  <si>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</si>
  <si>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</si>
  <si>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</si>
  <si>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</si>
  <si>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</si>
  <si>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</si>
  <si>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</si>
  <si>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</si>
  <si>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</si>
  <si>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</si>
  <si>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</si>
  <si>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</si>
  <si>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</si>
  <si>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</si>
  <si>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</si>
  <si>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</si>
  <si>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</si>
  <si>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</si>
  <si>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</si>
  <si>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Number Of Products</t>
  </si>
  <si>
    <t>Average Price</t>
  </si>
  <si>
    <t>Minimum Price</t>
  </si>
  <si>
    <t>Maximum Price</t>
  </si>
  <si>
    <t>Price Range</t>
  </si>
  <si>
    <t>Day</t>
  </si>
  <si>
    <t>Country Code</t>
  </si>
  <si>
    <t>Month</t>
  </si>
  <si>
    <t>Total price of Electronics</t>
  </si>
  <si>
    <t>Products Less than 100</t>
  </si>
  <si>
    <t>QUESTION :1</t>
  </si>
  <si>
    <t>Total Price: The total value of all products combined is 10,100.</t>
  </si>
  <si>
    <t>Formula used: =SUM(D2:D35)</t>
  </si>
  <si>
    <t>Total Number of products: There are exactly 34 Products available in the dataset.</t>
  </si>
  <si>
    <t>Formulaa used: =COUNT(D2:D35)</t>
  </si>
  <si>
    <t>Average Price: The average price of the items is 297.06</t>
  </si>
  <si>
    <t>Formula used: =AVERAGE(D2:D35)</t>
  </si>
  <si>
    <t>QUESTION:2</t>
  </si>
  <si>
    <t>Minimum Price: The lowest product price in the dataset is 30.</t>
  </si>
  <si>
    <t>Formula used: =MIN(D2:D35)</t>
  </si>
  <si>
    <t>Maximum Price: The highest product price in the dataset is 1000.</t>
  </si>
  <si>
    <t>Formula used: =MAX(D2:D35)</t>
  </si>
  <si>
    <t>QUESTION:3</t>
  </si>
  <si>
    <t>Price range categorization: The IF function automatically checks the threshold of 500 to categorize products.</t>
  </si>
  <si>
    <t>Items priced at 500 or above are marked as "High price".</t>
  </si>
  <si>
    <t/>
  </si>
  <si>
    <t>Items priced below 500 are marked as "Standard price".</t>
  </si>
  <si>
    <t>Formula used: =IF(D2&gt;=500,"High price","Standard price")</t>
  </si>
  <si>
    <t>QUESTION:4</t>
  </si>
  <si>
    <t>Total price of Electronics: The total value for products under the "Electronics" category is 8050.</t>
  </si>
  <si>
    <t>Formula used: =SUMIF(F2:F35,"Electronics",D2:D35)</t>
  </si>
  <si>
    <t>Products Less than 100: There are 11 products that cost less than 100.</t>
  </si>
  <si>
    <t>Formula used: =COUNTIF(D2:D35,"&lt;100")</t>
  </si>
  <si>
    <t>QUESTION:5</t>
  </si>
  <si>
    <t>Day Extraction: The first 2 characters from the product ID column extract the registration day.</t>
  </si>
  <si>
    <t>Country Code Extraction: The last 2 characters from the Product ID column extract the Country Code.</t>
  </si>
  <si>
    <t>Formula used: =RIGHT(A2,2)</t>
  </si>
  <si>
    <t>Month Extraction: Characters from the 4th to 6th position successfully extract the Month.</t>
  </si>
  <si>
    <t>Formula used: =MID(A2,4,3)</t>
  </si>
  <si>
    <t>TEXT FORMATTING</t>
  </si>
  <si>
    <t>CONDITIONAL FUNCTIONS</t>
  </si>
  <si>
    <t>LOGICAL FUNCTION</t>
  </si>
  <si>
    <t>MINIMUM AND MAXIMUM VALUES</t>
  </si>
  <si>
    <t>BASIC DATA EXPLORATION</t>
  </si>
  <si>
    <t>Formula used: =LEFT(A2,2)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</si>
</sst>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4"/>
      <name val="Arial"/>
      <family val="2"/>
      <scheme val="minor"/>
    </font>
    <font>
      <b/>
      <sz val="10"/>
      <color theme="9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6"/>
      <name val="Arial"/>
      <family val="2"/>
      <scheme val="minor"/>
    </font>
    <font>
      <b/>
      <sz val="10"/>
      <color theme="8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b/>
      <sz val="10"/>
      <color theme="4" tint="-0.499984740745262"/>
      <name val="Arial"/>
      <family val="2"/>
      <scheme val="minor"/>
    </font>
    <font>
      <b/>
      <sz val="10"/>
      <color rgb="FFFFC000"/>
      <name val="Arial"/>
      <family val="2"/>
      <scheme val="minor"/>
    </font>
    <font>
      <b/>
      <sz val="10"/>
      <color rgb="FF92D05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4DD0E1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3" fillId="0" borderId="0" xfId="0" applyFont="1"/>
    <xf numFmtId="0" fontId="3" fillId="7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2" fontId="3" fillId="0" borderId="0" xfId="0" applyNumberFormat="1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53AACA-A592-4BD2-9752-EA2C70A806E5}" name="Table2" displayName="Table2" ref="B1:J35" totalsRowShown="0" headerRowDxfId="9">
  <tableColumns count="9">
    <tableColumn id="1" xr3:uid="{E5B583C0-C801-4D7F-9C4A-BC178098E90E}" name="Product Name" dataDxfId="8"/>
    <tableColumn id="2" xr3:uid="{503000C0-C691-4402-BEF7-A204C8F10F9F}" name="Brand Name" dataDxfId="7"/>
    <tableColumn id="3" xr3:uid="{013287A0-2D3B-4445-BFF3-DFC6FD5E7061}" name="Price ($)" dataDxfId="6"/>
    <tableColumn id="4" xr3:uid="{05B58B4F-E106-42FB-81C0-E492A5275AF7}" name="Quantity" dataDxfId="5"/>
    <tableColumn id="5" xr3:uid="{36E649C3-27C5-4AE2-BCF6-4434AD7316B1}" name="Category" dataDxfId="4"/>
    <tableColumn id="6" xr3:uid="{FBEA6006-CDE0-4C32-8D03-D2AE92426453}" name="Price Range" dataDxfId="3">
      <calculatedColumnFormula>IF(D2&gt;=500,"High Price","Standard Price")</calculatedColumnFormula>
    </tableColumn>
    <tableColumn id="7" xr3:uid="{4FBFFC66-042E-49FF-9C8A-1C64F47582FE}" name="Day" dataDxfId="2">
      <calculatedColumnFormula>LEFT(A2,2)</calculatedColumnFormula>
    </tableColumn>
    <tableColumn id="8" xr3:uid="{27A04B2B-7B58-43C2-AC78-8DCF5AA7E121}" name="Country Code" dataDxfId="1">
      <calculatedColumnFormula>RIGHT(A2,2)</calculatedColumnFormula>
    </tableColumn>
    <tableColumn id="9" xr3:uid="{28A586D7-6B2E-43A5-BFC9-0F03CE27C541}" name="Month" dataDxfId="0">
      <calculatedColumnFormula>MID(A2,4,3)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workbookViewId="0">
      <selection activeCell="G1" sqref="G1"/>
    </sheetView>
  </sheetViews>
  <sheetFormatPr defaultColWidth="12.5703125" defaultRowHeight="15" customHeight="1" x14ac:dyDescent="0.2"/>
  <cols>
    <col min="2" max="2" width="14.140625" customWidth="1"/>
    <col min="7" max="7" width="16.140625" customWidth="1"/>
    <col min="12" max="12" width="22" customWidth="1"/>
  </cols>
  <sheetData>
    <row r="1" spans="1:1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/>
      <c r="I1" s="7"/>
      <c r="J1" s="7"/>
    </row>
    <row r="2" spans="1:13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/>
    </row>
    <row r="3" spans="1:13" ht="15.75" customHeight="1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/>
    </row>
    <row r="4" spans="1:13" ht="15.75" customHeight="1" x14ac:dyDescent="0.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/>
    </row>
    <row r="5" spans="1:13" ht="15.75" customHeight="1" x14ac:dyDescent="0.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/>
    </row>
    <row r="6" spans="1:13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/>
    </row>
    <row r="7" spans="1:13" ht="15.75" customHeight="1" x14ac:dyDescent="0.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/>
    </row>
    <row r="8" spans="1:13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/>
    </row>
    <row r="9" spans="1:13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/>
    </row>
    <row r="10" spans="1:13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/>
    </row>
    <row r="11" spans="1:13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/>
    </row>
    <row r="12" spans="1:13" ht="15.75" customHeight="1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/>
      <c r="M12" s="4"/>
    </row>
    <row r="13" spans="1:13" ht="15.75" customHeight="1" x14ac:dyDescent="0.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/>
    </row>
    <row r="14" spans="1:13" ht="15.75" customHeight="1" x14ac:dyDescent="0.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/>
    </row>
    <row r="15" spans="1:13" ht="15.75" customHeight="1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/>
    </row>
    <row r="16" spans="1:13" ht="15.75" customHeight="1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/>
    </row>
    <row r="17" spans="1:7" ht="15.75" customHeight="1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/>
    </row>
    <row r="18" spans="1:7" ht="15.75" customHeight="1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/>
    </row>
    <row r="19" spans="1:7" ht="15.75" customHeight="1" x14ac:dyDescent="0.2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/>
    </row>
    <row r="20" spans="1:7" ht="15.75" customHeight="1" x14ac:dyDescent="0.2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/>
    </row>
    <row r="21" spans="1:7" ht="15.75" customHeight="1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/>
    </row>
    <row r="22" spans="1:7" ht="15.75" customHeight="1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/>
    </row>
    <row r="23" spans="1:7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/>
    </row>
    <row r="24" spans="1:7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/>
    </row>
    <row r="25" spans="1:7" ht="15.75" customHeight="1" x14ac:dyDescent="0.2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"/>
    </row>
    <row r="26" spans="1:7" ht="15.75" customHeight="1" x14ac:dyDescent="0.2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/>
    </row>
    <row r="27" spans="1:7" ht="15.75" customHeight="1" x14ac:dyDescent="0.2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/>
    </row>
    <row r="28" spans="1:7" ht="15.75" customHeight="1" x14ac:dyDescent="0.2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/>
    </row>
    <row r="29" spans="1:7" ht="15.75" customHeight="1" x14ac:dyDescent="0.2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/>
    </row>
    <row r="30" spans="1:7" ht="15.75" customHeight="1" x14ac:dyDescent="0.2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/>
    </row>
    <row r="31" spans="1:7" ht="15.75" customHeight="1" x14ac:dyDescent="0.2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/>
    </row>
    <row r="32" spans="1:7" ht="15.75" customHeight="1" x14ac:dyDescent="0.2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/>
    </row>
    <row r="33" spans="1:7" ht="15.75" customHeight="1" x14ac:dyDescent="0.2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/>
    </row>
    <row r="34" spans="1:7" ht="15.75" customHeight="1" x14ac:dyDescent="0.2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/>
    </row>
    <row r="35" spans="1:7" ht="15.75" customHeight="1" x14ac:dyDescent="0.2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0329-CB65-481F-9477-DB330A713A39}">
  <sheetPr>
    <outlinePr summaryBelow="0" summaryRight="0"/>
  </sheetPr>
  <dimension ref="A1:M1000"/>
  <sheetViews>
    <sheetView tabSelected="1" topLeftCell="E1" workbookViewId="0">
      <selection activeCell="L18" sqref="L18"/>
    </sheetView>
  </sheetViews>
  <sheetFormatPr defaultColWidth="12.5703125" defaultRowHeight="15" customHeight="1" x14ac:dyDescent="0.2"/>
  <cols>
    <col min="2" max="2" width="16" customWidth="1"/>
    <col min="3" max="3" width="14.42578125" customWidth="1"/>
    <col min="7" max="7" width="16.140625" customWidth="1"/>
    <col min="9" max="9" width="15.42578125" customWidth="1"/>
    <col min="12" max="12" width="26.28515625" customWidth="1"/>
    <col min="13" max="13" width="16.7109375" bestFit="1" customWidth="1"/>
  </cols>
  <sheetData>
    <row r="1" spans="1:1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98</v>
      </c>
      <c r="H1" s="1" t="s">
        <v>99</v>
      </c>
      <c r="I1" s="1" t="s">
        <v>100</v>
      </c>
      <c r="J1" s="1" t="s">
        <v>101</v>
      </c>
      <c r="L1" s="8" t="s">
        <v>93</v>
      </c>
      <c r="M1" s="8">
        <f>SUM(D2:D35)</f>
        <v>10100</v>
      </c>
    </row>
    <row r="2" spans="1:13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IF(D2&gt;=500,"High Price","Standard Price")</f>
        <v>High Price</v>
      </c>
      <c r="H2" s="10" t="str">
        <f>LEFT(A2,2)</f>
        <v>28</v>
      </c>
      <c r="I2" s="10" t="str">
        <f>RIGHT(A2,2)</f>
        <v>US</v>
      </c>
      <c r="J2" s="10" t="str">
        <f>MID(A2,4,3)</f>
        <v>JAN</v>
      </c>
      <c r="L2" s="8" t="s">
        <v>94</v>
      </c>
      <c r="M2" s="8">
        <f>COUNT(D2:D35)</f>
        <v>34</v>
      </c>
    </row>
    <row r="3" spans="1:13" ht="15.75" customHeight="1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 t="str">
        <f t="shared" ref="G3:G35" si="0">IF(D3&gt;=500,"High Price","Standard Price")</f>
        <v>Standard Price</v>
      </c>
      <c r="H3" s="10" t="str">
        <f t="shared" ref="H3:H35" si="1">LEFT(A3,2)</f>
        <v>15</v>
      </c>
      <c r="I3" s="10" t="str">
        <f t="shared" ref="I3:I35" si="2">RIGHT(A3,2)</f>
        <v>US</v>
      </c>
      <c r="J3" s="10" t="str">
        <f t="shared" ref="J3:J35" si="3">MID(A3,4,3)</f>
        <v>FEB</v>
      </c>
      <c r="L3" s="8" t="s">
        <v>95</v>
      </c>
      <c r="M3" s="22">
        <f>AVERAGE(D2:D35)</f>
        <v>297.05882352941177</v>
      </c>
    </row>
    <row r="4" spans="1:13" ht="15.75" customHeight="1" x14ac:dyDescent="0.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H4" s="10" t="str">
        <f t="shared" si="1"/>
        <v>03</v>
      </c>
      <c r="I4" s="10" t="str">
        <f t="shared" si="2"/>
        <v>US</v>
      </c>
      <c r="J4" s="10" t="str">
        <f t="shared" si="3"/>
        <v>MAR</v>
      </c>
      <c r="L4" s="8" t="s">
        <v>96</v>
      </c>
      <c r="M4" s="8">
        <f>MIN(D2:D35)</f>
        <v>30</v>
      </c>
    </row>
    <row r="5" spans="1:13" ht="15.75" customHeight="1" x14ac:dyDescent="0.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 t="str">
        <f t="shared" si="0"/>
        <v>High Price</v>
      </c>
      <c r="H5" s="10" t="str">
        <f t="shared" si="1"/>
        <v>11</v>
      </c>
      <c r="I5" s="10" t="str">
        <f t="shared" si="2"/>
        <v>US</v>
      </c>
      <c r="J5" s="10" t="str">
        <f t="shared" si="3"/>
        <v>APR</v>
      </c>
      <c r="L5" s="8" t="s">
        <v>97</v>
      </c>
      <c r="M5" s="8">
        <f>MAX(D2:D35)</f>
        <v>1000</v>
      </c>
    </row>
    <row r="6" spans="1:13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H6" s="10" t="str">
        <f t="shared" si="1"/>
        <v>22</v>
      </c>
      <c r="I6" s="10" t="str">
        <f t="shared" si="2"/>
        <v>US</v>
      </c>
      <c r="J6" s="10" t="str">
        <f t="shared" si="3"/>
        <v>MAY</v>
      </c>
      <c r="L6" s="8"/>
      <c r="M6" s="8"/>
    </row>
    <row r="7" spans="1:13" ht="15.75" customHeight="1" x14ac:dyDescent="0.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 t="str">
        <f t="shared" si="0"/>
        <v>Standard Price</v>
      </c>
      <c r="H7" s="10" t="str">
        <f t="shared" si="1"/>
        <v>07</v>
      </c>
      <c r="I7" s="10" t="str">
        <f t="shared" si="2"/>
        <v>UK</v>
      </c>
      <c r="J7" s="10" t="str">
        <f t="shared" si="3"/>
        <v>JUN</v>
      </c>
      <c r="L7" s="8"/>
      <c r="M7" s="8"/>
    </row>
    <row r="8" spans="1:13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H8" s="10" t="str">
        <f t="shared" si="1"/>
        <v>19</v>
      </c>
      <c r="I8" s="10" t="str">
        <f t="shared" si="2"/>
        <v>UK</v>
      </c>
      <c r="J8" s="10" t="str">
        <f t="shared" si="3"/>
        <v>JUL</v>
      </c>
      <c r="L8" s="8" t="s">
        <v>102</v>
      </c>
      <c r="M8" s="8">
        <f>SUMIF(F2:F35,"Electronics",D2:D35)</f>
        <v>8050</v>
      </c>
    </row>
    <row r="9" spans="1:13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 t="str">
        <f t="shared" si="0"/>
        <v>Standard Price</v>
      </c>
      <c r="H9" s="10" t="str">
        <f t="shared" si="1"/>
        <v>23</v>
      </c>
      <c r="I9" s="10" t="str">
        <f t="shared" si="2"/>
        <v>UK</v>
      </c>
      <c r="J9" s="10" t="str">
        <f t="shared" si="3"/>
        <v>AUG</v>
      </c>
      <c r="L9" s="8" t="s">
        <v>103</v>
      </c>
      <c r="M9" s="8">
        <f>COUNTIF(D2:D35,"&lt;100")</f>
        <v>11</v>
      </c>
    </row>
    <row r="10" spans="1:13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High Price</v>
      </c>
      <c r="H10" s="10" t="str">
        <f t="shared" si="1"/>
        <v>05</v>
      </c>
      <c r="I10" s="10" t="str">
        <f t="shared" si="2"/>
        <v>UK</v>
      </c>
      <c r="J10" s="10" t="str">
        <f t="shared" si="3"/>
        <v>SEP</v>
      </c>
    </row>
    <row r="11" spans="1:13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 t="str">
        <f t="shared" si="0"/>
        <v>Standard Price</v>
      </c>
      <c r="H11" s="10" t="str">
        <f t="shared" si="1"/>
        <v>14</v>
      </c>
      <c r="I11" s="10" t="str">
        <f t="shared" si="2"/>
        <v>UK</v>
      </c>
      <c r="J11" s="10" t="str">
        <f t="shared" si="3"/>
        <v>OCT</v>
      </c>
    </row>
    <row r="12" spans="1:13" ht="15.75" customHeight="1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H12" s="10" t="str">
        <f t="shared" si="1"/>
        <v>17</v>
      </c>
      <c r="I12" s="10" t="str">
        <f t="shared" si="2"/>
        <v>IN</v>
      </c>
      <c r="J12" s="10" t="str">
        <f t="shared" si="3"/>
        <v>JUN</v>
      </c>
      <c r="M12" s="4"/>
    </row>
    <row r="13" spans="1:13" ht="15.75" customHeight="1" x14ac:dyDescent="0.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 t="str">
        <f t="shared" si="0"/>
        <v>Standard Price</v>
      </c>
      <c r="H13" s="10" t="str">
        <f t="shared" si="1"/>
        <v>25</v>
      </c>
      <c r="I13" s="10" t="str">
        <f t="shared" si="2"/>
        <v>AU</v>
      </c>
      <c r="J13" s="10" t="str">
        <f t="shared" si="3"/>
        <v>NOV</v>
      </c>
    </row>
    <row r="14" spans="1:13" ht="15.75" customHeight="1" x14ac:dyDescent="0.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H14" s="10" t="str">
        <f t="shared" si="1"/>
        <v>08</v>
      </c>
      <c r="I14" s="10" t="str">
        <f t="shared" si="2"/>
        <v>DE</v>
      </c>
      <c r="J14" s="10" t="str">
        <f t="shared" si="3"/>
        <v>DEC</v>
      </c>
    </row>
    <row r="15" spans="1:13" ht="15.75" customHeight="1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 t="str">
        <f t="shared" si="0"/>
        <v>Standard Price</v>
      </c>
      <c r="H15" s="10" t="str">
        <f t="shared" si="1"/>
        <v>18</v>
      </c>
      <c r="I15" s="10" t="str">
        <f t="shared" si="2"/>
        <v>CA</v>
      </c>
      <c r="J15" s="10" t="str">
        <f t="shared" si="3"/>
        <v>FEB</v>
      </c>
    </row>
    <row r="16" spans="1:13" ht="15.75" customHeight="1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0"/>
        <v>Standard Price</v>
      </c>
      <c r="H16" s="10" t="str">
        <f t="shared" si="1"/>
        <v>16</v>
      </c>
      <c r="I16" s="10" t="str">
        <f t="shared" si="2"/>
        <v>ES</v>
      </c>
      <c r="J16" s="10" t="str">
        <f t="shared" si="3"/>
        <v>APR</v>
      </c>
    </row>
    <row r="17" spans="1:10" ht="15.75" customHeight="1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 t="str">
        <f t="shared" si="0"/>
        <v>Standard Price</v>
      </c>
      <c r="H17" s="10" t="str">
        <f t="shared" si="1"/>
        <v>21</v>
      </c>
      <c r="I17" s="10" t="str">
        <f t="shared" si="2"/>
        <v>CA</v>
      </c>
      <c r="J17" s="10" t="str">
        <f t="shared" si="3"/>
        <v>AUG</v>
      </c>
    </row>
    <row r="18" spans="1:10" ht="15.75" customHeight="1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0"/>
        <v>Standard Price</v>
      </c>
      <c r="H18" s="10" t="str">
        <f t="shared" si="1"/>
        <v>20</v>
      </c>
      <c r="I18" s="10" t="str">
        <f t="shared" si="2"/>
        <v>CN</v>
      </c>
      <c r="J18" s="10" t="str">
        <f t="shared" si="3"/>
        <v>AUG</v>
      </c>
    </row>
    <row r="19" spans="1:10" ht="15.75" customHeight="1" x14ac:dyDescent="0.2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 t="str">
        <f t="shared" si="0"/>
        <v>High Price</v>
      </c>
      <c r="H19" s="10" t="str">
        <f t="shared" si="1"/>
        <v>27</v>
      </c>
      <c r="I19" s="10" t="str">
        <f t="shared" si="2"/>
        <v>IT</v>
      </c>
      <c r="J19" s="10" t="str">
        <f t="shared" si="3"/>
        <v>JAN</v>
      </c>
    </row>
    <row r="20" spans="1:10" ht="15.75" customHeight="1" x14ac:dyDescent="0.2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0"/>
        <v>Standard Price</v>
      </c>
      <c r="H20" s="10" t="str">
        <f t="shared" si="1"/>
        <v>01</v>
      </c>
      <c r="I20" s="10" t="str">
        <f t="shared" si="2"/>
        <v>UK</v>
      </c>
      <c r="J20" s="10" t="str">
        <f t="shared" si="3"/>
        <v>MAR</v>
      </c>
    </row>
    <row r="21" spans="1:10" ht="15.75" customHeight="1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 t="str">
        <f t="shared" si="0"/>
        <v>Standard Price</v>
      </c>
      <c r="H21" s="10" t="str">
        <f t="shared" si="1"/>
        <v>14</v>
      </c>
      <c r="I21" s="10" t="str">
        <f t="shared" si="2"/>
        <v>US</v>
      </c>
      <c r="J21" s="10" t="str">
        <f t="shared" si="3"/>
        <v>AUG</v>
      </c>
    </row>
    <row r="22" spans="1:10" ht="15.75" customHeight="1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0"/>
        <v>High Price</v>
      </c>
      <c r="H22" s="10" t="str">
        <f t="shared" si="1"/>
        <v>14</v>
      </c>
      <c r="I22" s="10" t="str">
        <f t="shared" si="2"/>
        <v>RU</v>
      </c>
      <c r="J22" s="10" t="str">
        <f t="shared" si="3"/>
        <v>MAY</v>
      </c>
    </row>
    <row r="23" spans="1:10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 t="str">
        <f t="shared" si="0"/>
        <v>Standard Price</v>
      </c>
      <c r="H23" s="10" t="str">
        <f t="shared" si="1"/>
        <v>09</v>
      </c>
      <c r="I23" s="10" t="str">
        <f t="shared" si="2"/>
        <v>CA</v>
      </c>
      <c r="J23" s="10" t="str">
        <f t="shared" si="3"/>
        <v>JAN</v>
      </c>
    </row>
    <row r="24" spans="1:10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0"/>
        <v>Standard Price</v>
      </c>
      <c r="H24" s="10" t="str">
        <f t="shared" si="1"/>
        <v>19</v>
      </c>
      <c r="I24" s="10" t="str">
        <f t="shared" si="2"/>
        <v>BR</v>
      </c>
      <c r="J24" s="10" t="str">
        <f t="shared" si="3"/>
        <v>JUL</v>
      </c>
    </row>
    <row r="25" spans="1:10" ht="15.75" customHeight="1" x14ac:dyDescent="0.2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" t="str">
        <f t="shared" si="0"/>
        <v>Standard Price</v>
      </c>
      <c r="H25" s="10" t="str">
        <f t="shared" si="1"/>
        <v>21</v>
      </c>
      <c r="I25" s="10" t="str">
        <f t="shared" si="2"/>
        <v>CA</v>
      </c>
      <c r="J25" s="10" t="str">
        <f t="shared" si="3"/>
        <v>AUG</v>
      </c>
    </row>
    <row r="26" spans="1:10" ht="15.75" customHeight="1" x14ac:dyDescent="0.2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0"/>
        <v>High Price</v>
      </c>
      <c r="H26" s="10" t="str">
        <f t="shared" si="1"/>
        <v>29</v>
      </c>
      <c r="I26" s="10" t="str">
        <f t="shared" si="2"/>
        <v>CA</v>
      </c>
      <c r="J26" s="10" t="str">
        <f t="shared" si="3"/>
        <v>SEP</v>
      </c>
    </row>
    <row r="27" spans="1:10" ht="15.75" customHeight="1" x14ac:dyDescent="0.2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 t="str">
        <f t="shared" si="0"/>
        <v>Standard Price</v>
      </c>
      <c r="H27" s="10" t="str">
        <f t="shared" si="1"/>
        <v>03</v>
      </c>
      <c r="I27" s="10" t="str">
        <f t="shared" si="2"/>
        <v>CA</v>
      </c>
      <c r="J27" s="10" t="str">
        <f t="shared" si="3"/>
        <v>JUN</v>
      </c>
    </row>
    <row r="28" spans="1:10" ht="15.75" customHeight="1" x14ac:dyDescent="0.2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0"/>
        <v>Standard Price</v>
      </c>
      <c r="H28" s="10" t="str">
        <f t="shared" si="1"/>
        <v>11</v>
      </c>
      <c r="I28" s="10" t="str">
        <f t="shared" si="2"/>
        <v>CA</v>
      </c>
      <c r="J28" s="10" t="str">
        <f t="shared" si="3"/>
        <v>JUL</v>
      </c>
    </row>
    <row r="29" spans="1:10" ht="15.75" customHeight="1" x14ac:dyDescent="0.2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 t="str">
        <f t="shared" si="0"/>
        <v>Standard Price</v>
      </c>
      <c r="H29" s="10" t="str">
        <f t="shared" si="1"/>
        <v>16</v>
      </c>
      <c r="I29" s="10" t="str">
        <f t="shared" si="2"/>
        <v>ES</v>
      </c>
      <c r="J29" s="10" t="str">
        <f t="shared" si="3"/>
        <v>APR</v>
      </c>
    </row>
    <row r="30" spans="1:10" ht="15.75" customHeight="1" x14ac:dyDescent="0.2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0"/>
        <v>Standard Price</v>
      </c>
      <c r="H30" s="10" t="str">
        <f t="shared" si="1"/>
        <v>07</v>
      </c>
      <c r="I30" s="10" t="str">
        <f t="shared" si="2"/>
        <v>CA</v>
      </c>
      <c r="J30" s="10" t="str">
        <f t="shared" si="3"/>
        <v>MAR</v>
      </c>
    </row>
    <row r="31" spans="1:10" ht="15.75" customHeight="1" x14ac:dyDescent="0.2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 t="str">
        <f t="shared" si="0"/>
        <v>Standard Price</v>
      </c>
      <c r="H31" s="10" t="str">
        <f t="shared" si="1"/>
        <v>13</v>
      </c>
      <c r="I31" s="10" t="str">
        <f t="shared" si="2"/>
        <v>CA</v>
      </c>
      <c r="J31" s="10" t="str">
        <f t="shared" si="3"/>
        <v>APR</v>
      </c>
    </row>
    <row r="32" spans="1:10" ht="15.75" customHeight="1" x14ac:dyDescent="0.2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0"/>
        <v>Standard Price</v>
      </c>
      <c r="H32" s="10" t="str">
        <f t="shared" si="1"/>
        <v>24</v>
      </c>
      <c r="I32" s="10" t="str">
        <f t="shared" si="2"/>
        <v>CA</v>
      </c>
      <c r="J32" s="10" t="str">
        <f t="shared" si="3"/>
        <v>MAY</v>
      </c>
    </row>
    <row r="33" spans="1:10" ht="15.75" customHeight="1" x14ac:dyDescent="0.2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 t="str">
        <f t="shared" si="0"/>
        <v>Standard Price</v>
      </c>
      <c r="H33" s="10" t="str">
        <f t="shared" si="1"/>
        <v>02</v>
      </c>
      <c r="I33" s="10" t="str">
        <f t="shared" si="2"/>
        <v>CA</v>
      </c>
      <c r="J33" s="10" t="str">
        <f t="shared" si="3"/>
        <v>DEC</v>
      </c>
    </row>
    <row r="34" spans="1:10" ht="15.75" customHeight="1" x14ac:dyDescent="0.2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0"/>
        <v>High Price</v>
      </c>
      <c r="H34" s="10" t="str">
        <f t="shared" si="1"/>
        <v>17</v>
      </c>
      <c r="I34" s="10" t="str">
        <f t="shared" si="2"/>
        <v>IN</v>
      </c>
      <c r="J34" s="10" t="str">
        <f t="shared" si="3"/>
        <v>JUN</v>
      </c>
    </row>
    <row r="35" spans="1:10" ht="15.75" customHeight="1" x14ac:dyDescent="0.2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 t="str">
        <f t="shared" si="0"/>
        <v>Standard Price</v>
      </c>
      <c r="H35" s="10" t="str">
        <f t="shared" si="1"/>
        <v>09</v>
      </c>
      <c r="I35" s="10" t="str">
        <f t="shared" si="2"/>
        <v>FR</v>
      </c>
      <c r="J35" s="10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FBF7-1949-4672-8938-3C48E858151C}">
  <dimension ref="C5:N55"/>
  <sheetViews>
    <sheetView topLeftCell="C1" zoomScale="107" workbookViewId="0">
      <selection activeCell="O5" sqref="O5"/>
    </sheetView>
  </sheetViews>
  <sheetFormatPr defaultRowHeight="12.75" x14ac:dyDescent="0.2"/>
  <cols>
    <col min="3" max="3" width="16.85546875" customWidth="1"/>
  </cols>
  <sheetData>
    <row r="5" spans="3:13" x14ac:dyDescent="0.2">
      <c r="C5" s="8" t="s">
        <v>104</v>
      </c>
      <c r="D5" s="9" t="s">
        <v>137</v>
      </c>
      <c r="E5" s="9"/>
      <c r="F5" s="9"/>
    </row>
    <row r="6" spans="3:13" x14ac:dyDescent="0.2">
      <c r="M6" s="8"/>
    </row>
    <row r="7" spans="3:13" x14ac:dyDescent="0.2">
      <c r="D7" s="11" t="s">
        <v>105</v>
      </c>
      <c r="E7" s="8"/>
      <c r="F7" s="8"/>
      <c r="G7" s="8"/>
      <c r="H7" s="8"/>
      <c r="I7" s="8"/>
      <c r="J7" s="8"/>
      <c r="K7" s="8"/>
    </row>
    <row r="8" spans="3:13" x14ac:dyDescent="0.2">
      <c r="D8" s="12" t="s">
        <v>106</v>
      </c>
      <c r="E8" s="8"/>
      <c r="F8" s="8"/>
      <c r="G8" s="8"/>
      <c r="H8" s="8"/>
      <c r="I8" s="8"/>
      <c r="J8" s="8"/>
      <c r="K8" s="8"/>
    </row>
    <row r="9" spans="3:13" x14ac:dyDescent="0.2">
      <c r="D9" s="8"/>
      <c r="E9" s="8"/>
      <c r="F9" s="8"/>
      <c r="G9" s="8"/>
      <c r="H9" s="8"/>
      <c r="I9" s="8"/>
      <c r="J9" s="8"/>
      <c r="K9" s="8"/>
    </row>
    <row r="10" spans="3:13" x14ac:dyDescent="0.2">
      <c r="D10" s="11" t="s">
        <v>107</v>
      </c>
      <c r="E10" s="8"/>
      <c r="F10" s="8"/>
      <c r="G10" s="8"/>
      <c r="H10" s="8"/>
      <c r="I10" s="8"/>
      <c r="J10" s="8"/>
      <c r="K10" s="8"/>
    </row>
    <row r="11" spans="3:13" x14ac:dyDescent="0.2">
      <c r="D11" s="12" t="s">
        <v>108</v>
      </c>
      <c r="E11" s="8"/>
      <c r="F11" s="8"/>
      <c r="G11" s="8"/>
      <c r="H11" s="8"/>
      <c r="I11" s="8"/>
      <c r="J11" s="8"/>
      <c r="K11" s="8"/>
    </row>
    <row r="12" spans="3:13" x14ac:dyDescent="0.2">
      <c r="D12" s="8"/>
      <c r="E12" s="8"/>
      <c r="F12" s="8"/>
      <c r="G12" s="8"/>
      <c r="H12" s="8"/>
      <c r="I12" s="8"/>
      <c r="J12" s="8"/>
      <c r="K12" s="8"/>
    </row>
    <row r="13" spans="3:13" x14ac:dyDescent="0.2">
      <c r="D13" s="11" t="s">
        <v>109</v>
      </c>
      <c r="E13" s="8"/>
      <c r="F13" s="8"/>
      <c r="G13" s="8"/>
      <c r="H13" s="8"/>
      <c r="I13" s="8"/>
      <c r="J13" s="8"/>
      <c r="K13" s="8"/>
    </row>
    <row r="14" spans="3:13" x14ac:dyDescent="0.2">
      <c r="D14" s="12" t="s">
        <v>110</v>
      </c>
      <c r="E14" s="8"/>
      <c r="F14" s="8"/>
      <c r="G14" s="8"/>
      <c r="H14" s="8"/>
      <c r="I14" s="8"/>
      <c r="J14" s="8"/>
      <c r="K14" s="8"/>
    </row>
    <row r="16" spans="3:13" x14ac:dyDescent="0.2">
      <c r="C16" s="8" t="s">
        <v>111</v>
      </c>
      <c r="D16" s="9" t="s">
        <v>136</v>
      </c>
      <c r="E16" s="9"/>
      <c r="F16" s="9"/>
      <c r="G16" s="9"/>
    </row>
    <row r="18" spans="3:14" x14ac:dyDescent="0.2">
      <c r="D18" s="13" t="s">
        <v>112</v>
      </c>
      <c r="E18" s="8"/>
      <c r="F18" s="8"/>
      <c r="G18" s="8"/>
      <c r="H18" s="8"/>
      <c r="I18" s="8"/>
    </row>
    <row r="19" spans="3:14" x14ac:dyDescent="0.2">
      <c r="D19" s="14" t="s">
        <v>113</v>
      </c>
      <c r="E19" s="8"/>
      <c r="F19" s="8"/>
      <c r="G19" s="8"/>
      <c r="H19" s="8"/>
      <c r="I19" s="8"/>
    </row>
    <row r="20" spans="3:14" x14ac:dyDescent="0.2">
      <c r="D20" s="8"/>
      <c r="E20" s="8"/>
      <c r="F20" s="8"/>
      <c r="G20" s="8"/>
      <c r="H20" s="8"/>
      <c r="I20" s="8"/>
    </row>
    <row r="21" spans="3:14" x14ac:dyDescent="0.2">
      <c r="D21" s="13" t="s">
        <v>114</v>
      </c>
      <c r="E21" s="8"/>
      <c r="F21" s="8"/>
      <c r="G21" s="8"/>
      <c r="H21" s="8"/>
      <c r="I21" s="8"/>
    </row>
    <row r="22" spans="3:14" x14ac:dyDescent="0.2">
      <c r="D22" s="14" t="s">
        <v>115</v>
      </c>
      <c r="E22" s="8"/>
      <c r="F22" s="8"/>
      <c r="G22" s="8"/>
      <c r="H22" s="8"/>
      <c r="I22" s="8"/>
    </row>
    <row r="24" spans="3:14" x14ac:dyDescent="0.2">
      <c r="C24" s="8" t="s">
        <v>116</v>
      </c>
      <c r="D24" s="9" t="s">
        <v>135</v>
      </c>
      <c r="E24" s="9"/>
    </row>
    <row r="26" spans="3:14" x14ac:dyDescent="0.2">
      <c r="D26" s="15" t="s">
        <v>117</v>
      </c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3:14" x14ac:dyDescent="0.2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3:14" x14ac:dyDescent="0.2">
      <c r="D28" s="8"/>
      <c r="E28" s="16" t="s">
        <v>118</v>
      </c>
      <c r="F28" s="8"/>
      <c r="G28" s="8"/>
      <c r="H28" s="8"/>
      <c r="I28" s="8"/>
      <c r="J28" s="8"/>
      <c r="K28" s="8"/>
      <c r="L28" s="8"/>
      <c r="M28" s="8"/>
      <c r="N28" s="8"/>
    </row>
    <row r="29" spans="3:14" x14ac:dyDescent="0.2">
      <c r="D29" s="8"/>
      <c r="E29" s="8"/>
      <c r="F29" s="8"/>
      <c r="G29" s="8"/>
      <c r="H29" s="8"/>
      <c r="I29" s="17" t="s">
        <v>119</v>
      </c>
      <c r="J29" s="8"/>
      <c r="K29" s="8"/>
      <c r="L29" s="8"/>
      <c r="M29" s="8"/>
      <c r="N29" s="8"/>
    </row>
    <row r="30" spans="3:14" x14ac:dyDescent="0.2">
      <c r="D30" s="8"/>
      <c r="E30" s="18" t="s">
        <v>120</v>
      </c>
      <c r="F30" s="8"/>
      <c r="G30" s="8"/>
      <c r="H30" s="8"/>
      <c r="I30" s="8"/>
      <c r="J30" s="8"/>
      <c r="K30" s="8"/>
      <c r="L30" s="8"/>
      <c r="M30" s="8"/>
      <c r="N30" s="8"/>
    </row>
    <row r="31" spans="3:14" x14ac:dyDescent="0.2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3:14" x14ac:dyDescent="0.2">
      <c r="D32" s="19" t="s">
        <v>121</v>
      </c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3:14" x14ac:dyDescent="0.2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6" spans="3:14" x14ac:dyDescent="0.2">
      <c r="C36" s="8" t="s">
        <v>122</v>
      </c>
      <c r="D36" s="9" t="s">
        <v>134</v>
      </c>
      <c r="E36" s="9"/>
      <c r="F36" s="9"/>
    </row>
    <row r="38" spans="3:14" x14ac:dyDescent="0.2">
      <c r="D38" s="20" t="s">
        <v>123</v>
      </c>
      <c r="E38" s="8"/>
      <c r="F38" s="8"/>
      <c r="G38" s="8"/>
      <c r="H38" s="8"/>
      <c r="I38" s="8"/>
      <c r="J38" s="8"/>
      <c r="K38" s="8"/>
      <c r="L38" s="8"/>
      <c r="M38" s="8"/>
    </row>
    <row r="39" spans="3:14" x14ac:dyDescent="0.2">
      <c r="D39" s="15" t="s">
        <v>124</v>
      </c>
      <c r="E39" s="8"/>
      <c r="F39" s="8"/>
      <c r="G39" s="8"/>
      <c r="H39" s="8"/>
      <c r="I39" s="8"/>
      <c r="J39" s="8"/>
      <c r="K39" s="8"/>
      <c r="L39" s="8"/>
      <c r="M39" s="8"/>
    </row>
    <row r="40" spans="3:14" x14ac:dyDescent="0.2"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3:14" x14ac:dyDescent="0.2">
      <c r="D41" s="20" t="s">
        <v>125</v>
      </c>
      <c r="E41" s="8"/>
      <c r="F41" s="8"/>
      <c r="G41" s="8"/>
      <c r="H41" s="8"/>
      <c r="I41" s="8"/>
      <c r="J41" s="8"/>
      <c r="K41" s="8"/>
      <c r="L41" s="8"/>
      <c r="M41" s="8"/>
    </row>
    <row r="42" spans="3:14" x14ac:dyDescent="0.2">
      <c r="D42" s="15" t="s">
        <v>126</v>
      </c>
      <c r="E42" s="8"/>
      <c r="F42" s="8"/>
      <c r="G42" s="8"/>
      <c r="H42" s="8"/>
      <c r="I42" s="8"/>
      <c r="J42" s="8"/>
      <c r="K42" s="8"/>
      <c r="L42" s="8"/>
      <c r="M42" s="8"/>
    </row>
    <row r="43" spans="3:14" x14ac:dyDescent="0.2">
      <c r="D43" s="8"/>
      <c r="E43" s="8"/>
      <c r="F43" s="8"/>
      <c r="G43" s="8"/>
      <c r="H43" s="8"/>
      <c r="I43" s="8"/>
      <c r="J43" s="8"/>
      <c r="K43" s="8"/>
      <c r="L43" s="8"/>
      <c r="M43" s="8"/>
    </row>
    <row r="45" spans="3:14" x14ac:dyDescent="0.2">
      <c r="C45" s="8" t="s">
        <v>127</v>
      </c>
      <c r="D45" s="9" t="s">
        <v>133</v>
      </c>
      <c r="E45" s="9"/>
    </row>
    <row r="47" spans="3:14" x14ac:dyDescent="0.2">
      <c r="D47" s="11" t="s">
        <v>128</v>
      </c>
      <c r="E47" s="8"/>
      <c r="F47" s="8"/>
      <c r="G47" s="8"/>
      <c r="H47" s="8"/>
      <c r="I47" s="8"/>
      <c r="J47" s="8"/>
      <c r="K47" s="8"/>
      <c r="L47" s="8"/>
      <c r="M47" s="8"/>
    </row>
    <row r="48" spans="3:14" x14ac:dyDescent="0.2">
      <c r="D48" s="21" t="s">
        <v>138</v>
      </c>
      <c r="E48" s="8"/>
      <c r="F48" s="8"/>
      <c r="G48" s="8"/>
      <c r="H48" s="8"/>
      <c r="I48" s="8"/>
      <c r="J48" s="8"/>
      <c r="K48" s="8"/>
      <c r="L48" s="8"/>
      <c r="M48" s="8"/>
    </row>
    <row r="49" spans="4:13" x14ac:dyDescent="0.2"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4:13" x14ac:dyDescent="0.2">
      <c r="D50" s="11" t="s">
        <v>129</v>
      </c>
      <c r="E50" s="8"/>
      <c r="F50" s="8"/>
      <c r="G50" s="8"/>
      <c r="H50" s="8"/>
      <c r="I50" s="8"/>
      <c r="J50" s="8"/>
      <c r="K50" s="8"/>
      <c r="L50" s="8"/>
      <c r="M50" s="8"/>
    </row>
    <row r="51" spans="4:13" x14ac:dyDescent="0.2">
      <c r="D51" s="21" t="s">
        <v>130</v>
      </c>
      <c r="E51" s="8"/>
      <c r="F51" s="8"/>
      <c r="G51" s="8"/>
      <c r="H51" s="8"/>
      <c r="I51" s="8"/>
      <c r="J51" s="8"/>
      <c r="K51" s="8"/>
      <c r="L51" s="8"/>
      <c r="M51" s="8"/>
    </row>
    <row r="52" spans="4:13" x14ac:dyDescent="0.2"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4:13" x14ac:dyDescent="0.2">
      <c r="D53" s="11" t="s">
        <v>131</v>
      </c>
      <c r="E53" s="8"/>
      <c r="F53" s="8"/>
      <c r="G53" s="8"/>
      <c r="H53" s="8"/>
      <c r="I53" s="8"/>
      <c r="J53" s="8"/>
      <c r="K53" s="8"/>
      <c r="L53" s="8"/>
      <c r="M53" s="8"/>
    </row>
    <row r="54" spans="4:13" x14ac:dyDescent="0.2">
      <c r="D54" s="21" t="s">
        <v>132</v>
      </c>
      <c r="E54" s="8"/>
      <c r="F54" s="8"/>
      <c r="G54" s="8"/>
      <c r="H54" s="8"/>
      <c r="I54" s="8"/>
      <c r="J54" s="8"/>
      <c r="K54" s="8"/>
      <c r="L54" s="8"/>
      <c r="M54" s="8"/>
    </row>
    <row r="55" spans="4:13" x14ac:dyDescent="0.2">
      <c r="D55" s="8"/>
      <c r="E55" s="8"/>
      <c r="F55" s="8"/>
      <c r="G55" s="8"/>
      <c r="H55" s="8"/>
      <c r="I55" s="8"/>
      <c r="J55" s="8"/>
      <c r="K55" s="8"/>
      <c r="L55" s="8"/>
      <c r="M5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Dataset cleaning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Sivasri S</cp:lastModifiedBy>
  <dcterms:created xsi:type="dcterms:W3CDTF">2026-06-20T16:49:40Z</dcterms:created>
  <dcterms:modified xsi:type="dcterms:W3CDTF">2026-06-24T10:37:30Z</dcterms:modified>
</cp:coreProperties>
</file>