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247" documentId="14_{8689FA1D-3816-4A8A-9A1B-989438EFBDA6}" xr6:coauthVersionLast="47" xr6:coauthVersionMax="47" xr10:uidLastSave="{CED5FC3A-19D5-4D04-AF15-D0D469438C21}"/>
  <bookViews>
    <workbookView xWindow="-120" yWindow="-120" windowWidth="20730" windowHeight="11040" xr2:uid="{00000000-000D-0000-FFFF-FFFF00000000}"/>
  </bookViews>
  <sheets>
    <sheet name="Dataset" sheetId="1" r:id="rId1"/>
    <sheet name="Dataset Cleaning" sheetId="7" r:id="rId2"/>
    <sheet name="Observation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G34" i="7"/>
  <c r="H2" i="7"/>
</calcChain>
</file>

<file path=xl/sharedStrings.xml><?xml version="1.0" encoding="utf-8"?>
<sst xmlns="http://schemas.openxmlformats.org/spreadsheetml/2006/main" count="322" uniqueCount="142">
  <si>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</si>
  <si>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</si>
  <si>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</si>
  <si>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</si>
  <si>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</si>
  <si>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</si>
  <si>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</si>
  <si>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</si>
  <si>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</si>
  <si>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Column1</t>
  </si>
  <si>
    <t>28-JAN-US</t>
  </si>
  <si>
    <t>Laptop</t>
  </si>
  <si>
    <t>Dell</t>
  </si>
  <si>
    <t>Electronics</t>
  </si>
  <si>
    <t>Dell Laptop</t>
  </si>
  <si>
    <t>15-FEB-US</t>
  </si>
  <si>
    <t>Sneakers</t>
  </si>
  <si>
    <t>Nike</t>
  </si>
  <si>
    <t>Fashion</t>
  </si>
  <si>
    <t>Nike Sneakers</t>
  </si>
  <si>
    <t>03-MAR-US</t>
  </si>
  <si>
    <t>Coffee Maker</t>
  </si>
  <si>
    <t>Keurig</t>
  </si>
  <si>
    <t>Kitchen</t>
  </si>
  <si>
    <t>Keurig Coffee Maker</t>
  </si>
  <si>
    <t>11-APR-US</t>
  </si>
  <si>
    <t>Smartphone</t>
  </si>
  <si>
    <t>Samsung</t>
  </si>
  <si>
    <t>Samsung Smartphone</t>
  </si>
  <si>
    <t>22-MAY-US</t>
  </si>
  <si>
    <t>Backpack</t>
  </si>
  <si>
    <t>North Face</t>
  </si>
  <si>
    <t>Outdoor</t>
  </si>
  <si>
    <t>North Face Backpack</t>
  </si>
  <si>
    <t>07-JUN-UK</t>
  </si>
  <si>
    <t>Headphones</t>
  </si>
  <si>
    <t>Sony</t>
  </si>
  <si>
    <t>Sony Headphones</t>
  </si>
  <si>
    <t>19-JUL-UK</t>
  </si>
  <si>
    <t>T-shirt</t>
  </si>
  <si>
    <t>Adidas</t>
  </si>
  <si>
    <t>Adidas T-shirt</t>
  </si>
  <si>
    <t>23-AUG-UK</t>
  </si>
  <si>
    <t>Blender</t>
  </si>
  <si>
    <t>Ninja</t>
  </si>
  <si>
    <t>Ninja Blender</t>
  </si>
  <si>
    <t>05-SEP-UK</t>
  </si>
  <si>
    <t>Tablet</t>
  </si>
  <si>
    <t>Apple</t>
  </si>
  <si>
    <t>Apple Tablet</t>
  </si>
  <si>
    <t>14-OCT-UK</t>
  </si>
  <si>
    <t>Hiking Boots</t>
  </si>
  <si>
    <t>Timberland</t>
  </si>
  <si>
    <t>Timberland Hiking Boots</t>
  </si>
  <si>
    <t>17-JUN-IN</t>
  </si>
  <si>
    <t>HP</t>
  </si>
  <si>
    <t>HP Laptop</t>
  </si>
  <si>
    <t>25-NOV-AU</t>
  </si>
  <si>
    <t>Adidas Sneakers</t>
  </si>
  <si>
    <t>08-DEC-DE</t>
  </si>
  <si>
    <t>Nespresso</t>
  </si>
  <si>
    <t>Nespresso Coffee Maker</t>
  </si>
  <si>
    <t>18-FEB-CA</t>
  </si>
  <si>
    <t>Smartwatch</t>
  </si>
  <si>
    <t>Fitbit</t>
  </si>
  <si>
    <t>Fitbit Smartwatch</t>
  </si>
  <si>
    <t>16-APR-ES</t>
  </si>
  <si>
    <t>Bose</t>
  </si>
  <si>
    <t>Bose Headphones</t>
  </si>
  <si>
    <t>21-AUG-CA</t>
  </si>
  <si>
    <t>Laptop Bag</t>
  </si>
  <si>
    <t>Samsonite</t>
  </si>
  <si>
    <t>Accessories</t>
  </si>
  <si>
    <t>Samsonite Laptop Bag</t>
  </si>
  <si>
    <t>20-AUG-CN</t>
  </si>
  <si>
    <t>Huawei</t>
  </si>
  <si>
    <t>Huawei Smartwatch</t>
  </si>
  <si>
    <t>27-JAN-IT</t>
  </si>
  <si>
    <t>Asus</t>
  </si>
  <si>
    <t>Asus Laptop</t>
  </si>
  <si>
    <t>01-MAR-UK</t>
  </si>
  <si>
    <t>Sunglasses</t>
  </si>
  <si>
    <t>Oakley</t>
  </si>
  <si>
    <t>Oakley Sunglasses</t>
  </si>
  <si>
    <t>14-AUG-US</t>
  </si>
  <si>
    <t>Camping Tent</t>
  </si>
  <si>
    <t>Coleman</t>
  </si>
  <si>
    <t>Coleman Camping Tent</t>
  </si>
  <si>
    <t>14-MAY-RU</t>
  </si>
  <si>
    <t>Camera</t>
  </si>
  <si>
    <t>Nikon</t>
  </si>
  <si>
    <t>Nikon Camera</t>
  </si>
  <si>
    <t>09-JAN-CA</t>
  </si>
  <si>
    <t>Microwave</t>
  </si>
  <si>
    <t>Panasonic</t>
  </si>
  <si>
    <t>Panasonic Microwave</t>
  </si>
  <si>
    <t>19-JUL-BR</t>
  </si>
  <si>
    <t>Fitness Tracker</t>
  </si>
  <si>
    <t>Xiaomi</t>
  </si>
  <si>
    <t>Xiaomi Fitness Tracker</t>
  </si>
  <si>
    <t>29-SEP-CA</t>
  </si>
  <si>
    <t>Google</t>
  </si>
  <si>
    <t>Google Smartphone</t>
  </si>
  <si>
    <t>03-JUN-CA</t>
  </si>
  <si>
    <t>Ray-Ban</t>
  </si>
  <si>
    <t>Ray-Ban Sunglasses</t>
  </si>
  <si>
    <t>11-JUL-CA</t>
  </si>
  <si>
    <t>Vitamix</t>
  </si>
  <si>
    <t>Vitamix Blender</t>
  </si>
  <si>
    <t>07-MAR-CA</t>
  </si>
  <si>
    <t>Dress</t>
  </si>
  <si>
    <t>Zara</t>
  </si>
  <si>
    <t>13-APR-CA</t>
  </si>
  <si>
    <t>Toaster</t>
  </si>
  <si>
    <t>Hamilton</t>
  </si>
  <si>
    <t>Zara Dress</t>
  </si>
  <si>
    <t>24-MAY-CA</t>
  </si>
  <si>
    <t>Garmin</t>
  </si>
  <si>
    <t>Hamilton Toaster</t>
  </si>
  <si>
    <t>02-DEC-CA</t>
  </si>
  <si>
    <t>Jeans</t>
  </si>
  <si>
    <t>Levi's</t>
  </si>
  <si>
    <t>Garmin Fitness Tracker</t>
  </si>
  <si>
    <t>09-JUL-FR</t>
  </si>
  <si>
    <t>Watch</t>
  </si>
  <si>
    <t>Casio</t>
  </si>
  <si>
    <t>Levi's Jeans</t>
  </si>
  <si>
    <t>Step 1: Data Import</t>
  </si>
  <si>
    <t xml:space="preserve"> I successfully imported the raw data file into Microsoft Excel. All columns and rows are organized and ready for cleaning.</t>
  </si>
  <si>
    <t>Step 2: Find and Replace</t>
  </si>
  <si>
    <t xml:space="preserve"> I used the Find and Replace tool (Ctrl + H) to fix text errors. Incorrect words were automatically updated to the correct spelling across the whole sheet.</t>
  </si>
  <si>
    <t>Step 3: Managing Duplicates</t>
  </si>
  <si>
    <t xml:space="preserve"> I selected the entire dataset and used Conditional Formatting to highlight repeating rows, then I used the Remove Duplicates tool under the Data tab to permanently delete those identical rows.</t>
  </si>
  <si>
    <t>Step 4: Splitting and Merging Data</t>
  </si>
  <si>
    <t xml:space="preserve"> Splitting Date: I extracted the raw date text from the Product ID column by using this formula in cell B2: =LEFT(A2, 6)</t>
  </si>
  <si>
    <t xml:space="preserve"> Splitting Country: I extracted the country code from the Product ID column by using this formula in cell C2: =RIGHT(A2, 2)</t>
  </si>
  <si>
    <t xml:space="preserve"> Merging Brand: I combined Brand Name and Product Name into a new column called Product Brand by using the Flash Fill shortcut (Ctrl + E).</t>
  </si>
  <si>
    <t>Step 5: Number Formatting</t>
  </si>
  <si>
    <t xml:space="preserve"> Price: I changed the Price column format to Currency to show dollar symbols.</t>
  </si>
  <si>
    <t xml:space="preserve"> Date Formatting: I updated the Manufacturing Date column formula to =DATEVALUE(LEFT(A2, 6)) and applied Custom Formatting with the type dd-mm-yyyy so all dates show clearly with hyphens.</t>
  </si>
  <si>
    <t>Step 6: Conditional Formatting</t>
  </si>
  <si>
    <t xml:space="preserve"> I added Data Bars to the Price column to visually show higher and lower values, and I used the Text that Contains rule to automatically highlight all cells with the word Electronics in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</si>
</sst>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\-mm\-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scheme val="minor"/>
    </font>
    <font>
      <sz val="10"/>
      <color theme="0"/>
      <name val="Arial"/>
      <scheme val="minor"/>
    </font>
    <font>
      <b/>
      <sz val="13.5"/>
      <color rgb="FF000000"/>
      <name val="Arial"/>
      <scheme val="minor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2"/>
      <color rgb="FF000000"/>
      <name val="Arial"/>
    </font>
    <font>
      <b/>
      <sz val="12"/>
      <color rgb="FFFF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6" borderId="0" xfId="0" applyFont="1" applyFill="1" applyAlignment="1">
      <alignment wrapText="1"/>
    </xf>
    <xf numFmtId="0" fontId="5" fillId="6" borderId="0" xfId="0" applyFont="1" applyFill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quotePrefix="1" applyFont="1"/>
    <xf numFmtId="0" fontId="11" fillId="7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numFmt numFmtId="165" formatCode="dd\-mm\-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2AA4F-55D8-4F64-B278-A3AF5BEEB402}" name="Table2" displayName="Table2" ref="G1:J33" totalsRowShown="0">
  <autoFilter ref="G1:J33" xr:uid="{B912AA4F-55D8-4F64-B278-A3AF5BEEB402}">
    <filterColumn colId="0" hiddenButton="1"/>
    <filterColumn colId="1" hiddenButton="1"/>
    <filterColumn colId="2" hiddenButton="1"/>
    <filterColumn colId="3" hiddenButton="1"/>
  </autoFilter>
  <tableColumns count="4">
    <tableColumn id="1" xr3:uid="{73A13FD9-222E-4B7A-A231-A704EBE37ABE}" name="Manufacturing Date" dataDxfId="5">
      <calculatedColumnFormula>DATEVALUE(LEFT(A2,6))</calculatedColumnFormula>
    </tableColumn>
    <tableColumn id="2" xr3:uid="{34609D2E-19FF-435D-A21E-BFCF0AE1EB49}" name="Country Code" dataDxfId="4">
      <calculatedColumnFormula>RIGHT(A2,2)</calculatedColumnFormula>
    </tableColumn>
    <tableColumn id="3" xr3:uid="{A0218E15-01BF-4BBA-8E00-6379C2AADC0E}" name="Product Brand" dataDxfId="3"/>
    <tableColumn id="4" xr3:uid="{CE7EF44B-EBBD-4000-9246-85954960FE6E}" name="Column1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G1" sqref="G1"/>
    </sheetView>
  </sheetViews>
  <sheetFormatPr defaultColWidth="12.5703125" defaultRowHeight="15" customHeight="1" x14ac:dyDescent="0.2"/>
  <cols>
    <col min="2" max="2" width="14.140625" customWidth="1"/>
    <col min="7" max="7" width="16.140625" customWidth="1"/>
    <col min="12" max="12" width="22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/>
      <c r="I1" s="6"/>
      <c r="J1" s="6"/>
    </row>
    <row r="2" spans="1:13" ht="15.75" customHeight="1" x14ac:dyDescent="0.2">
      <c r="A2" s="2" t="s">
        <v>10</v>
      </c>
      <c r="B2" s="2" t="s">
        <v>11</v>
      </c>
      <c r="C2" s="2" t="s">
        <v>12</v>
      </c>
      <c r="D2" s="2">
        <v>1000</v>
      </c>
      <c r="E2" s="2">
        <v>30</v>
      </c>
      <c r="F2" s="2" t="s">
        <v>13</v>
      </c>
      <c r="G2" s="2"/>
    </row>
    <row r="3" spans="1:13" ht="15.75" customHeight="1" x14ac:dyDescent="0.2">
      <c r="A3" s="3" t="s">
        <v>15</v>
      </c>
      <c r="B3" s="3" t="s">
        <v>16</v>
      </c>
      <c r="C3" s="3" t="s">
        <v>17</v>
      </c>
      <c r="D3" s="3">
        <v>80</v>
      </c>
      <c r="E3" s="3">
        <v>15</v>
      </c>
      <c r="F3" s="3" t="s">
        <v>18</v>
      </c>
      <c r="G3" s="2"/>
    </row>
    <row r="4" spans="1:13" ht="15.75" customHeight="1" x14ac:dyDescent="0.2">
      <c r="A4" s="2" t="s">
        <v>20</v>
      </c>
      <c r="B4" s="2" t="s">
        <v>21</v>
      </c>
      <c r="C4" s="2" t="s">
        <v>22</v>
      </c>
      <c r="D4" s="2">
        <v>130</v>
      </c>
      <c r="E4" s="2">
        <v>40</v>
      </c>
      <c r="F4" s="2" t="s">
        <v>23</v>
      </c>
      <c r="G4" s="2"/>
    </row>
    <row r="5" spans="1:13" ht="15.75" customHeight="1" x14ac:dyDescent="0.2">
      <c r="A5" s="3" t="s">
        <v>25</v>
      </c>
      <c r="B5" s="3" t="s">
        <v>26</v>
      </c>
      <c r="C5" s="3" t="s">
        <v>27</v>
      </c>
      <c r="D5" s="3">
        <v>900</v>
      </c>
      <c r="E5" s="3">
        <v>25</v>
      </c>
      <c r="F5" s="3" t="s">
        <v>13</v>
      </c>
      <c r="G5" s="2"/>
    </row>
    <row r="6" spans="1:13" ht="15.75" customHeight="1" x14ac:dyDescent="0.2">
      <c r="A6" s="2" t="s">
        <v>29</v>
      </c>
      <c r="B6" s="2" t="s">
        <v>30</v>
      </c>
      <c r="C6" s="2" t="s">
        <v>31</v>
      </c>
      <c r="D6" s="2">
        <v>70</v>
      </c>
      <c r="E6" s="2">
        <v>20</v>
      </c>
      <c r="F6" s="2" t="s">
        <v>32</v>
      </c>
      <c r="G6" s="2"/>
    </row>
    <row r="7" spans="1:13" ht="15.75" customHeight="1" x14ac:dyDescent="0.2">
      <c r="A7" s="3" t="s">
        <v>34</v>
      </c>
      <c r="B7" s="3" t="s">
        <v>35</v>
      </c>
      <c r="C7" s="3" t="s">
        <v>36</v>
      </c>
      <c r="D7" s="3">
        <v>200</v>
      </c>
      <c r="E7" s="3">
        <v>45</v>
      </c>
      <c r="F7" s="3" t="s">
        <v>13</v>
      </c>
      <c r="G7" s="2"/>
    </row>
    <row r="8" spans="1:13" ht="15.75" customHeight="1" x14ac:dyDescent="0.2">
      <c r="A8" s="2" t="s">
        <v>38</v>
      </c>
      <c r="B8" s="2" t="s">
        <v>39</v>
      </c>
      <c r="C8" s="2" t="s">
        <v>40</v>
      </c>
      <c r="D8" s="2">
        <v>30</v>
      </c>
      <c r="E8" s="2">
        <v>5</v>
      </c>
      <c r="F8" s="2" t="s">
        <v>18</v>
      </c>
      <c r="G8" s="2"/>
    </row>
    <row r="9" spans="1:13" ht="15.75" customHeight="1" x14ac:dyDescent="0.2">
      <c r="A9" s="3" t="s">
        <v>42</v>
      </c>
      <c r="B9" s="3" t="s">
        <v>43</v>
      </c>
      <c r="C9" s="3" t="s">
        <v>44</v>
      </c>
      <c r="D9" s="3">
        <v>90</v>
      </c>
      <c r="E9" s="3">
        <v>35</v>
      </c>
      <c r="F9" s="3" t="s">
        <v>23</v>
      </c>
      <c r="G9" s="2"/>
    </row>
    <row r="10" spans="1:13" ht="15.75" customHeight="1" x14ac:dyDescent="0.2">
      <c r="A10" s="2" t="s">
        <v>46</v>
      </c>
      <c r="B10" s="2" t="s">
        <v>47</v>
      </c>
      <c r="C10" s="2" t="s">
        <v>48</v>
      </c>
      <c r="D10" s="2">
        <v>500</v>
      </c>
      <c r="E10" s="2">
        <v>50</v>
      </c>
      <c r="F10" s="2" t="s">
        <v>13</v>
      </c>
      <c r="G10" s="2"/>
    </row>
    <row r="11" spans="1:13" ht="15.75" customHeight="1" x14ac:dyDescent="0.2">
      <c r="A11" s="3" t="s">
        <v>50</v>
      </c>
      <c r="B11" s="3" t="s">
        <v>51</v>
      </c>
      <c r="C11" s="3" t="s">
        <v>52</v>
      </c>
      <c r="D11" s="3">
        <v>130</v>
      </c>
      <c r="E11" s="3">
        <v>10</v>
      </c>
      <c r="F11" s="3" t="s">
        <v>32</v>
      </c>
      <c r="G11" s="2"/>
    </row>
    <row r="12" spans="1:13" ht="15.75" customHeight="1" x14ac:dyDescent="0.2">
      <c r="A12" s="2" t="s">
        <v>54</v>
      </c>
      <c r="B12" s="2" t="s">
        <v>11</v>
      </c>
      <c r="C12" s="2" t="s">
        <v>55</v>
      </c>
      <c r="D12" s="2">
        <v>950</v>
      </c>
      <c r="E12" s="2">
        <v>25</v>
      </c>
      <c r="F12" s="2" t="s">
        <v>13</v>
      </c>
      <c r="G12" s="2"/>
      <c r="M12" s="4"/>
    </row>
    <row r="13" spans="1:13" ht="15.75" customHeight="1" x14ac:dyDescent="0.2">
      <c r="A13" s="3" t="s">
        <v>57</v>
      </c>
      <c r="B13" s="3" t="s">
        <v>16</v>
      </c>
      <c r="C13" s="3" t="s">
        <v>40</v>
      </c>
      <c r="D13" s="3">
        <v>90</v>
      </c>
      <c r="E13" s="3">
        <v>40</v>
      </c>
      <c r="F13" s="3" t="s">
        <v>18</v>
      </c>
      <c r="G13" s="2"/>
    </row>
    <row r="14" spans="1:13" ht="15.75" customHeight="1" x14ac:dyDescent="0.2">
      <c r="A14" s="2" t="s">
        <v>59</v>
      </c>
      <c r="B14" s="2" t="s">
        <v>21</v>
      </c>
      <c r="C14" s="2" t="s">
        <v>60</v>
      </c>
      <c r="D14" s="2">
        <v>120</v>
      </c>
      <c r="E14" s="2">
        <v>35</v>
      </c>
      <c r="F14" s="2" t="s">
        <v>23</v>
      </c>
      <c r="G14" s="2"/>
    </row>
    <row r="15" spans="1:13" ht="15.75" customHeight="1" x14ac:dyDescent="0.2">
      <c r="A15" s="3" t="s">
        <v>62</v>
      </c>
      <c r="B15" s="3" t="s">
        <v>63</v>
      </c>
      <c r="C15" s="3" t="s">
        <v>64</v>
      </c>
      <c r="D15" s="3">
        <v>150</v>
      </c>
      <c r="E15" s="3">
        <v>15</v>
      </c>
      <c r="F15" s="3" t="s">
        <v>13</v>
      </c>
      <c r="G15" s="2"/>
    </row>
    <row r="16" spans="1:13" ht="15.75" customHeight="1" x14ac:dyDescent="0.2">
      <c r="A16" s="2" t="s">
        <v>66</v>
      </c>
      <c r="B16" s="2" t="s">
        <v>35</v>
      </c>
      <c r="C16" s="2" t="s">
        <v>67</v>
      </c>
      <c r="D16" s="2">
        <v>250</v>
      </c>
      <c r="E16" s="2">
        <v>20</v>
      </c>
      <c r="F16" s="2" t="s">
        <v>13</v>
      </c>
      <c r="G16" s="2"/>
    </row>
    <row r="17" spans="1:7" ht="15.75" customHeight="1" x14ac:dyDescent="0.2">
      <c r="A17" s="3" t="s">
        <v>69</v>
      </c>
      <c r="B17" s="3" t="s">
        <v>70</v>
      </c>
      <c r="C17" s="3" t="s">
        <v>71</v>
      </c>
      <c r="D17" s="3">
        <v>50</v>
      </c>
      <c r="E17" s="3">
        <v>35</v>
      </c>
      <c r="F17" s="3" t="s">
        <v>72</v>
      </c>
      <c r="G17" s="2"/>
    </row>
    <row r="18" spans="1:7" ht="15.75" customHeight="1" x14ac:dyDescent="0.2">
      <c r="A18" s="2" t="s">
        <v>74</v>
      </c>
      <c r="B18" s="2" t="s">
        <v>63</v>
      </c>
      <c r="C18" s="2" t="s">
        <v>75</v>
      </c>
      <c r="D18" s="2">
        <v>160</v>
      </c>
      <c r="E18" s="2">
        <v>15</v>
      </c>
      <c r="F18" s="2" t="s">
        <v>13</v>
      </c>
      <c r="G18" s="2"/>
    </row>
    <row r="19" spans="1:7" ht="15.75" customHeight="1" x14ac:dyDescent="0.2">
      <c r="A19" s="3" t="s">
        <v>77</v>
      </c>
      <c r="B19" s="3" t="s">
        <v>11</v>
      </c>
      <c r="C19" s="3" t="s">
        <v>78</v>
      </c>
      <c r="D19" s="3">
        <v>980</v>
      </c>
      <c r="E19" s="3">
        <v>10</v>
      </c>
      <c r="F19" s="3" t="s">
        <v>13</v>
      </c>
      <c r="G19" s="2"/>
    </row>
    <row r="20" spans="1:7" ht="15.75" customHeight="1" x14ac:dyDescent="0.2">
      <c r="A20" s="2" t="s">
        <v>80</v>
      </c>
      <c r="B20" s="2" t="s">
        <v>81</v>
      </c>
      <c r="C20" s="2" t="s">
        <v>82</v>
      </c>
      <c r="D20" s="2">
        <v>150</v>
      </c>
      <c r="E20" s="2">
        <v>15</v>
      </c>
      <c r="F20" s="2" t="s">
        <v>18</v>
      </c>
      <c r="G20" s="2"/>
    </row>
    <row r="21" spans="1:7" ht="15.75" customHeight="1" x14ac:dyDescent="0.2">
      <c r="A21" s="3" t="s">
        <v>84</v>
      </c>
      <c r="B21" s="3" t="s">
        <v>85</v>
      </c>
      <c r="C21" s="3" t="s">
        <v>86</v>
      </c>
      <c r="D21" s="3">
        <v>200</v>
      </c>
      <c r="E21" s="3">
        <v>10</v>
      </c>
      <c r="F21" s="3" t="s">
        <v>32</v>
      </c>
      <c r="G21" s="2"/>
    </row>
    <row r="22" spans="1:7" ht="15.75" customHeight="1" x14ac:dyDescent="0.2">
      <c r="A22" s="2" t="s">
        <v>88</v>
      </c>
      <c r="B22" s="2" t="s">
        <v>89</v>
      </c>
      <c r="C22" s="2" t="s">
        <v>90</v>
      </c>
      <c r="D22" s="2">
        <v>700</v>
      </c>
      <c r="E22" s="2">
        <v>50</v>
      </c>
      <c r="F22" s="2" t="s">
        <v>13</v>
      </c>
      <c r="G22" s="2"/>
    </row>
    <row r="23" spans="1:7" ht="15.75" customHeight="1" x14ac:dyDescent="0.2">
      <c r="A23" s="3" t="s">
        <v>92</v>
      </c>
      <c r="B23" s="3" t="s">
        <v>93</v>
      </c>
      <c r="C23" s="3" t="s">
        <v>94</v>
      </c>
      <c r="D23" s="3">
        <v>80</v>
      </c>
      <c r="E23" s="3">
        <v>20</v>
      </c>
      <c r="F23" s="3" t="s">
        <v>23</v>
      </c>
      <c r="G23" s="2"/>
    </row>
    <row r="24" spans="1:7" ht="15.75" customHeight="1" x14ac:dyDescent="0.2">
      <c r="A24" s="2" t="s">
        <v>96</v>
      </c>
      <c r="B24" s="2" t="s">
        <v>97</v>
      </c>
      <c r="C24" s="2" t="s">
        <v>98</v>
      </c>
      <c r="D24" s="2">
        <v>150</v>
      </c>
      <c r="E24" s="2">
        <v>30</v>
      </c>
      <c r="F24" s="2" t="s">
        <v>13</v>
      </c>
      <c r="G24" s="2"/>
    </row>
    <row r="25" spans="1:7" ht="15.75" customHeight="1" x14ac:dyDescent="0.2">
      <c r="A25" s="3" t="s">
        <v>69</v>
      </c>
      <c r="B25" s="3" t="s">
        <v>70</v>
      </c>
      <c r="C25" s="3" t="s">
        <v>71</v>
      </c>
      <c r="D25" s="3">
        <v>50</v>
      </c>
      <c r="E25" s="3">
        <v>35</v>
      </c>
      <c r="F25" s="3" t="s">
        <v>72</v>
      </c>
      <c r="G25" s="2"/>
    </row>
    <row r="26" spans="1:7" ht="15.75" customHeight="1" x14ac:dyDescent="0.2">
      <c r="A26" s="2" t="s">
        <v>100</v>
      </c>
      <c r="B26" s="2" t="s">
        <v>26</v>
      </c>
      <c r="C26" s="2" t="s">
        <v>101</v>
      </c>
      <c r="D26" s="2">
        <v>800</v>
      </c>
      <c r="E26" s="2">
        <v>45</v>
      </c>
      <c r="F26" s="2" t="s">
        <v>13</v>
      </c>
      <c r="G26" s="2"/>
    </row>
    <row r="27" spans="1:7" ht="15.75" customHeight="1" x14ac:dyDescent="0.2">
      <c r="A27" s="3" t="s">
        <v>103</v>
      </c>
      <c r="B27" s="3" t="s">
        <v>81</v>
      </c>
      <c r="C27" s="3" t="s">
        <v>104</v>
      </c>
      <c r="D27" s="3">
        <v>130</v>
      </c>
      <c r="E27" s="3">
        <v>25</v>
      </c>
      <c r="F27" s="3" t="s">
        <v>18</v>
      </c>
      <c r="G27" s="2"/>
    </row>
    <row r="28" spans="1:7" ht="15.75" customHeight="1" x14ac:dyDescent="0.2">
      <c r="A28" s="2" t="s">
        <v>106</v>
      </c>
      <c r="B28" s="2" t="s">
        <v>43</v>
      </c>
      <c r="C28" s="2" t="s">
        <v>107</v>
      </c>
      <c r="D28" s="2">
        <v>400</v>
      </c>
      <c r="E28" s="2">
        <v>40</v>
      </c>
      <c r="F28" s="2" t="s">
        <v>23</v>
      </c>
      <c r="G28" s="2"/>
    </row>
    <row r="29" spans="1:7" ht="15.75" customHeight="1" x14ac:dyDescent="0.2">
      <c r="A29" s="3" t="s">
        <v>66</v>
      </c>
      <c r="B29" s="3" t="s">
        <v>35</v>
      </c>
      <c r="C29" s="3" t="s">
        <v>67</v>
      </c>
      <c r="D29" s="3">
        <v>230</v>
      </c>
      <c r="E29" s="3">
        <v>20</v>
      </c>
      <c r="F29" s="3" t="s">
        <v>13</v>
      </c>
      <c r="G29" s="2"/>
    </row>
    <row r="30" spans="1:7" ht="15.75" customHeight="1" x14ac:dyDescent="0.2">
      <c r="A30" s="2" t="s">
        <v>109</v>
      </c>
      <c r="B30" s="2" t="s">
        <v>110</v>
      </c>
      <c r="C30" s="2" t="s">
        <v>111</v>
      </c>
      <c r="D30" s="2">
        <v>60</v>
      </c>
      <c r="E30" s="2">
        <v>30</v>
      </c>
      <c r="F30" s="2" t="s">
        <v>18</v>
      </c>
      <c r="G30" s="2"/>
    </row>
    <row r="31" spans="1:7" ht="15.75" customHeight="1" x14ac:dyDescent="0.2">
      <c r="A31" s="3" t="s">
        <v>112</v>
      </c>
      <c r="B31" s="3" t="s">
        <v>113</v>
      </c>
      <c r="C31" s="3" t="s">
        <v>114</v>
      </c>
      <c r="D31" s="3">
        <v>40</v>
      </c>
      <c r="E31" s="3">
        <v>10</v>
      </c>
      <c r="F31" s="3" t="s">
        <v>23</v>
      </c>
      <c r="G31" s="2"/>
    </row>
    <row r="32" spans="1:7" ht="15.75" customHeight="1" x14ac:dyDescent="0.2">
      <c r="A32" s="2" t="s">
        <v>116</v>
      </c>
      <c r="B32" s="2" t="s">
        <v>97</v>
      </c>
      <c r="C32" s="2" t="s">
        <v>117</v>
      </c>
      <c r="D32" s="2">
        <v>130</v>
      </c>
      <c r="E32" s="2">
        <v>5</v>
      </c>
      <c r="F32" s="2" t="s">
        <v>13</v>
      </c>
      <c r="G32" s="2"/>
    </row>
    <row r="33" spans="1:7" ht="15.75" customHeight="1" x14ac:dyDescent="0.2">
      <c r="A33" s="3" t="s">
        <v>119</v>
      </c>
      <c r="B33" s="3" t="s">
        <v>120</v>
      </c>
      <c r="C33" s="3" t="s">
        <v>121</v>
      </c>
      <c r="D33" s="3">
        <v>50</v>
      </c>
      <c r="E33" s="3">
        <v>50</v>
      </c>
      <c r="F33" s="3" t="s">
        <v>18</v>
      </c>
      <c r="G33" s="2"/>
    </row>
    <row r="34" spans="1:7" ht="15.75" customHeight="1" x14ac:dyDescent="0.2">
      <c r="A34" s="2" t="s">
        <v>54</v>
      </c>
      <c r="B34" s="2" t="s">
        <v>11</v>
      </c>
      <c r="C34" s="2" t="s">
        <v>55</v>
      </c>
      <c r="D34" s="2">
        <v>950</v>
      </c>
      <c r="E34" s="2">
        <v>25</v>
      </c>
      <c r="F34" s="2" t="s">
        <v>13</v>
      </c>
      <c r="G34" s="2"/>
    </row>
    <row r="35" spans="1:7" ht="15.75" customHeight="1" x14ac:dyDescent="0.2">
      <c r="A35" s="3" t="s">
        <v>123</v>
      </c>
      <c r="B35" s="3" t="s">
        <v>124</v>
      </c>
      <c r="C35" s="3" t="s">
        <v>125</v>
      </c>
      <c r="D35" s="3">
        <v>100</v>
      </c>
      <c r="E35" s="3">
        <v>20</v>
      </c>
      <c r="F35" s="3" t="s">
        <v>72</v>
      </c>
      <c r="G35" s="2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0D16-1B56-4496-AEC7-78D3C67D68DA}">
  <dimension ref="A1:J34"/>
  <sheetViews>
    <sheetView workbookViewId="0">
      <selection activeCell="I12" sqref="I12"/>
    </sheetView>
  </sheetViews>
  <sheetFormatPr defaultRowHeight="12.75" x14ac:dyDescent="0.2"/>
  <cols>
    <col min="1" max="1" width="17" customWidth="1"/>
    <col min="2" max="2" width="20.7109375" customWidth="1"/>
    <col min="3" max="3" width="14.42578125" customWidth="1"/>
    <col min="4" max="4" width="15.5703125" customWidth="1"/>
    <col min="5" max="5" width="14.7109375" customWidth="1"/>
    <col min="6" max="6" width="20.85546875" customWidth="1"/>
    <col min="7" max="7" width="24.7109375" customWidth="1"/>
    <col min="8" max="8" width="18.5703125" customWidth="1"/>
    <col min="9" max="9" width="40.140625" customWidth="1"/>
    <col min="10" max="10" width="11.140625" bestFit="1" customWidth="1"/>
  </cols>
  <sheetData>
    <row r="1" spans="1:10" ht="1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2" t="s">
        <v>6</v>
      </c>
      <c r="H1" s="13" t="s">
        <v>7</v>
      </c>
      <c r="I1" s="13" t="s">
        <v>8</v>
      </c>
      <c r="J1" s="16" t="s">
        <v>9</v>
      </c>
    </row>
    <row r="2" spans="1:10" ht="15" x14ac:dyDescent="0.2">
      <c r="A2" s="8" t="s">
        <v>10</v>
      </c>
      <c r="B2" s="8" t="s">
        <v>11</v>
      </c>
      <c r="C2" s="8" t="s">
        <v>12</v>
      </c>
      <c r="D2" s="10">
        <v>1000</v>
      </c>
      <c r="E2" s="8">
        <v>30</v>
      </c>
      <c r="F2" s="8" t="s">
        <v>13</v>
      </c>
      <c r="G2" s="14">
        <f>DATEVALUE(LEFT(A2,6))</f>
        <v>46050</v>
      </c>
      <c r="H2" s="15" t="str">
        <f>RIGHT(A2,2)</f>
        <v>US</v>
      </c>
      <c r="I2" s="15" t="s">
        <v>14</v>
      </c>
      <c r="J2" s="16"/>
    </row>
    <row r="3" spans="1:10" ht="15" x14ac:dyDescent="0.2">
      <c r="A3" s="9" t="s">
        <v>15</v>
      </c>
      <c r="B3" s="9" t="s">
        <v>16</v>
      </c>
      <c r="C3" s="9" t="s">
        <v>17</v>
      </c>
      <c r="D3" s="11">
        <v>80</v>
      </c>
      <c r="E3" s="9">
        <v>15</v>
      </c>
      <c r="F3" s="9" t="s">
        <v>18</v>
      </c>
      <c r="G3" s="14">
        <f t="shared" ref="G3:G32" si="0">DATEVALUE(LEFT(A3,6))</f>
        <v>46068</v>
      </c>
      <c r="H3" s="15" t="str">
        <f t="shared" ref="H3:H32" si="1">RIGHT(A3,2)</f>
        <v>US</v>
      </c>
      <c r="I3" s="15" t="s">
        <v>19</v>
      </c>
      <c r="J3" s="16"/>
    </row>
    <row r="4" spans="1:10" ht="15" x14ac:dyDescent="0.2">
      <c r="A4" s="8" t="s">
        <v>20</v>
      </c>
      <c r="B4" s="8" t="s">
        <v>21</v>
      </c>
      <c r="C4" s="8" t="s">
        <v>22</v>
      </c>
      <c r="D4" s="10">
        <v>130</v>
      </c>
      <c r="E4" s="8">
        <v>40</v>
      </c>
      <c r="F4" s="8" t="s">
        <v>23</v>
      </c>
      <c r="G4" s="14">
        <f t="shared" si="0"/>
        <v>46084</v>
      </c>
      <c r="H4" s="15" t="str">
        <f t="shared" si="1"/>
        <v>US</v>
      </c>
      <c r="I4" s="15" t="s">
        <v>24</v>
      </c>
      <c r="J4" s="16"/>
    </row>
    <row r="5" spans="1:10" ht="15" x14ac:dyDescent="0.2">
      <c r="A5" s="9" t="s">
        <v>25</v>
      </c>
      <c r="B5" s="9" t="s">
        <v>26</v>
      </c>
      <c r="C5" s="9" t="s">
        <v>27</v>
      </c>
      <c r="D5" s="11">
        <v>900</v>
      </c>
      <c r="E5" s="9">
        <v>25</v>
      </c>
      <c r="F5" s="9" t="s">
        <v>13</v>
      </c>
      <c r="G5" s="14">
        <f t="shared" si="0"/>
        <v>46123</v>
      </c>
      <c r="H5" s="15" t="str">
        <f t="shared" si="1"/>
        <v>US</v>
      </c>
      <c r="I5" s="15" t="s">
        <v>28</v>
      </c>
      <c r="J5" s="16"/>
    </row>
    <row r="6" spans="1:10" ht="15" x14ac:dyDescent="0.2">
      <c r="A6" s="8" t="s">
        <v>29</v>
      </c>
      <c r="B6" s="8" t="s">
        <v>30</v>
      </c>
      <c r="C6" s="8" t="s">
        <v>31</v>
      </c>
      <c r="D6" s="10">
        <v>70</v>
      </c>
      <c r="E6" s="8">
        <v>20</v>
      </c>
      <c r="F6" s="8" t="s">
        <v>32</v>
      </c>
      <c r="G6" s="14">
        <f t="shared" si="0"/>
        <v>46164</v>
      </c>
      <c r="H6" s="15" t="str">
        <f t="shared" si="1"/>
        <v>US</v>
      </c>
      <c r="I6" s="15" t="s">
        <v>33</v>
      </c>
      <c r="J6" s="16"/>
    </row>
    <row r="7" spans="1:10" ht="15" x14ac:dyDescent="0.2">
      <c r="A7" s="9" t="s">
        <v>34</v>
      </c>
      <c r="B7" s="9" t="s">
        <v>35</v>
      </c>
      <c r="C7" s="9" t="s">
        <v>36</v>
      </c>
      <c r="D7" s="11">
        <v>200</v>
      </c>
      <c r="E7" s="9">
        <v>45</v>
      </c>
      <c r="F7" s="9" t="s">
        <v>13</v>
      </c>
      <c r="G7" s="14">
        <f t="shared" si="0"/>
        <v>46180</v>
      </c>
      <c r="H7" s="15" t="str">
        <f t="shared" si="1"/>
        <v>UK</v>
      </c>
      <c r="I7" s="15" t="s">
        <v>37</v>
      </c>
      <c r="J7" s="16"/>
    </row>
    <row r="8" spans="1:10" ht="15" x14ac:dyDescent="0.2">
      <c r="A8" s="8" t="s">
        <v>38</v>
      </c>
      <c r="B8" s="8" t="s">
        <v>39</v>
      </c>
      <c r="C8" s="8" t="s">
        <v>40</v>
      </c>
      <c r="D8" s="10">
        <v>30</v>
      </c>
      <c r="E8" s="8">
        <v>5</v>
      </c>
      <c r="F8" s="8" t="s">
        <v>18</v>
      </c>
      <c r="G8" s="14">
        <f t="shared" si="0"/>
        <v>46222</v>
      </c>
      <c r="H8" s="15" t="str">
        <f t="shared" si="1"/>
        <v>UK</v>
      </c>
      <c r="I8" s="15" t="s">
        <v>41</v>
      </c>
      <c r="J8" s="16"/>
    </row>
    <row r="9" spans="1:10" ht="15" x14ac:dyDescent="0.2">
      <c r="A9" s="9" t="s">
        <v>42</v>
      </c>
      <c r="B9" s="9" t="s">
        <v>43</v>
      </c>
      <c r="C9" s="9" t="s">
        <v>44</v>
      </c>
      <c r="D9" s="11">
        <v>90</v>
      </c>
      <c r="E9" s="9">
        <v>35</v>
      </c>
      <c r="F9" s="9" t="s">
        <v>23</v>
      </c>
      <c r="G9" s="14">
        <f t="shared" si="0"/>
        <v>46257</v>
      </c>
      <c r="H9" s="15" t="str">
        <f t="shared" si="1"/>
        <v>UK</v>
      </c>
      <c r="I9" s="15" t="s">
        <v>45</v>
      </c>
      <c r="J9" s="16"/>
    </row>
    <row r="10" spans="1:10" ht="15" x14ac:dyDescent="0.2">
      <c r="A10" s="8" t="s">
        <v>46</v>
      </c>
      <c r="B10" s="8" t="s">
        <v>47</v>
      </c>
      <c r="C10" s="8" t="s">
        <v>48</v>
      </c>
      <c r="D10" s="10">
        <v>500</v>
      </c>
      <c r="E10" s="8">
        <v>50</v>
      </c>
      <c r="F10" s="8" t="s">
        <v>13</v>
      </c>
      <c r="G10" s="14">
        <f t="shared" si="0"/>
        <v>46270</v>
      </c>
      <c r="H10" s="15" t="str">
        <f t="shared" si="1"/>
        <v>UK</v>
      </c>
      <c r="I10" s="15" t="s">
        <v>49</v>
      </c>
      <c r="J10" s="16"/>
    </row>
    <row r="11" spans="1:10" ht="15" x14ac:dyDescent="0.2">
      <c r="A11" s="9" t="s">
        <v>50</v>
      </c>
      <c r="B11" s="9" t="s">
        <v>51</v>
      </c>
      <c r="C11" s="9" t="s">
        <v>52</v>
      </c>
      <c r="D11" s="11">
        <v>130</v>
      </c>
      <c r="E11" s="9">
        <v>10</v>
      </c>
      <c r="F11" s="9" t="s">
        <v>32</v>
      </c>
      <c r="G11" s="14">
        <f t="shared" si="0"/>
        <v>46309</v>
      </c>
      <c r="H11" s="15" t="str">
        <f t="shared" si="1"/>
        <v>UK</v>
      </c>
      <c r="I11" s="15" t="s">
        <v>53</v>
      </c>
      <c r="J11" s="16"/>
    </row>
    <row r="12" spans="1:10" ht="15" x14ac:dyDescent="0.2">
      <c r="A12" s="8" t="s">
        <v>54</v>
      </c>
      <c r="B12" s="8" t="s">
        <v>11</v>
      </c>
      <c r="C12" s="8" t="s">
        <v>55</v>
      </c>
      <c r="D12" s="10">
        <v>950</v>
      </c>
      <c r="E12" s="8">
        <v>25</v>
      </c>
      <c r="F12" s="8" t="s">
        <v>13</v>
      </c>
      <c r="G12" s="14">
        <f t="shared" si="0"/>
        <v>46190</v>
      </c>
      <c r="H12" s="15" t="str">
        <f t="shared" si="1"/>
        <v>IN</v>
      </c>
      <c r="I12" s="15" t="s">
        <v>56</v>
      </c>
      <c r="J12" s="16"/>
    </row>
    <row r="13" spans="1:10" ht="15" x14ac:dyDescent="0.2">
      <c r="A13" s="9" t="s">
        <v>57</v>
      </c>
      <c r="B13" s="9" t="s">
        <v>16</v>
      </c>
      <c r="C13" s="9" t="s">
        <v>40</v>
      </c>
      <c r="D13" s="11">
        <v>90</v>
      </c>
      <c r="E13" s="9">
        <v>40</v>
      </c>
      <c r="F13" s="9" t="s">
        <v>18</v>
      </c>
      <c r="G13" s="14">
        <f t="shared" si="0"/>
        <v>46351</v>
      </c>
      <c r="H13" s="15" t="str">
        <f t="shared" si="1"/>
        <v>AU</v>
      </c>
      <c r="I13" s="15" t="s">
        <v>58</v>
      </c>
      <c r="J13" s="16"/>
    </row>
    <row r="14" spans="1:10" ht="15" x14ac:dyDescent="0.2">
      <c r="A14" s="8" t="s">
        <v>59</v>
      </c>
      <c r="B14" s="8" t="s">
        <v>21</v>
      </c>
      <c r="C14" s="8" t="s">
        <v>60</v>
      </c>
      <c r="D14" s="10">
        <v>120</v>
      </c>
      <c r="E14" s="8">
        <v>35</v>
      </c>
      <c r="F14" s="8" t="s">
        <v>23</v>
      </c>
      <c r="G14" s="14">
        <f t="shared" si="0"/>
        <v>46364</v>
      </c>
      <c r="H14" s="15" t="str">
        <f t="shared" si="1"/>
        <v>DE</v>
      </c>
      <c r="I14" s="15" t="s">
        <v>61</v>
      </c>
      <c r="J14" s="16"/>
    </row>
    <row r="15" spans="1:10" ht="15" x14ac:dyDescent="0.2">
      <c r="A15" s="9" t="s">
        <v>62</v>
      </c>
      <c r="B15" s="9" t="s">
        <v>63</v>
      </c>
      <c r="C15" s="9" t="s">
        <v>64</v>
      </c>
      <c r="D15" s="11">
        <v>150</v>
      </c>
      <c r="E15" s="9">
        <v>15</v>
      </c>
      <c r="F15" s="9" t="s">
        <v>13</v>
      </c>
      <c r="G15" s="14">
        <f t="shared" si="0"/>
        <v>46071</v>
      </c>
      <c r="H15" s="15" t="str">
        <f t="shared" si="1"/>
        <v>CA</v>
      </c>
      <c r="I15" s="15" t="s">
        <v>65</v>
      </c>
      <c r="J15" s="16"/>
    </row>
    <row r="16" spans="1:10" ht="15" x14ac:dyDescent="0.2">
      <c r="A16" s="8" t="s">
        <v>66</v>
      </c>
      <c r="B16" s="8" t="s">
        <v>35</v>
      </c>
      <c r="C16" s="8" t="s">
        <v>67</v>
      </c>
      <c r="D16" s="10">
        <v>250</v>
      </c>
      <c r="E16" s="8">
        <v>20</v>
      </c>
      <c r="F16" s="8" t="s">
        <v>13</v>
      </c>
      <c r="G16" s="14">
        <f t="shared" si="0"/>
        <v>46128</v>
      </c>
      <c r="H16" s="15" t="str">
        <f t="shared" si="1"/>
        <v>ES</v>
      </c>
      <c r="I16" s="15" t="s">
        <v>68</v>
      </c>
      <c r="J16" s="16"/>
    </row>
    <row r="17" spans="1:10" ht="15" x14ac:dyDescent="0.2">
      <c r="A17" s="9" t="s">
        <v>69</v>
      </c>
      <c r="B17" s="9" t="s">
        <v>70</v>
      </c>
      <c r="C17" s="9" t="s">
        <v>71</v>
      </c>
      <c r="D17" s="11">
        <v>50</v>
      </c>
      <c r="E17" s="9">
        <v>35</v>
      </c>
      <c r="F17" s="9" t="s">
        <v>72</v>
      </c>
      <c r="G17" s="14">
        <f t="shared" si="0"/>
        <v>46255</v>
      </c>
      <c r="H17" s="15" t="str">
        <f t="shared" si="1"/>
        <v>CA</v>
      </c>
      <c r="I17" s="15" t="s">
        <v>73</v>
      </c>
      <c r="J17" s="16"/>
    </row>
    <row r="18" spans="1:10" ht="15" x14ac:dyDescent="0.2">
      <c r="A18" s="8" t="s">
        <v>74</v>
      </c>
      <c r="B18" s="8" t="s">
        <v>63</v>
      </c>
      <c r="C18" s="8" t="s">
        <v>75</v>
      </c>
      <c r="D18" s="10">
        <v>160</v>
      </c>
      <c r="E18" s="8">
        <v>15</v>
      </c>
      <c r="F18" s="8" t="s">
        <v>13</v>
      </c>
      <c r="G18" s="14">
        <f t="shared" si="0"/>
        <v>46254</v>
      </c>
      <c r="H18" s="15" t="str">
        <f t="shared" si="1"/>
        <v>CN</v>
      </c>
      <c r="I18" s="15" t="s">
        <v>76</v>
      </c>
      <c r="J18" s="16"/>
    </row>
    <row r="19" spans="1:10" ht="15" x14ac:dyDescent="0.2">
      <c r="A19" s="9" t="s">
        <v>77</v>
      </c>
      <c r="B19" s="9" t="s">
        <v>11</v>
      </c>
      <c r="C19" s="9" t="s">
        <v>78</v>
      </c>
      <c r="D19" s="11">
        <v>980</v>
      </c>
      <c r="E19" s="9">
        <v>10</v>
      </c>
      <c r="F19" s="9" t="s">
        <v>13</v>
      </c>
      <c r="G19" s="14">
        <f t="shared" si="0"/>
        <v>46049</v>
      </c>
      <c r="H19" s="15" t="str">
        <f t="shared" si="1"/>
        <v>IT</v>
      </c>
      <c r="I19" s="15" t="s">
        <v>79</v>
      </c>
      <c r="J19" s="16"/>
    </row>
    <row r="20" spans="1:10" ht="15" x14ac:dyDescent="0.2">
      <c r="A20" s="8" t="s">
        <v>80</v>
      </c>
      <c r="B20" s="8" t="s">
        <v>81</v>
      </c>
      <c r="C20" s="8" t="s">
        <v>82</v>
      </c>
      <c r="D20" s="10">
        <v>150</v>
      </c>
      <c r="E20" s="8">
        <v>15</v>
      </c>
      <c r="F20" s="8" t="s">
        <v>18</v>
      </c>
      <c r="G20" s="14">
        <f t="shared" si="0"/>
        <v>46082</v>
      </c>
      <c r="H20" s="15" t="str">
        <f t="shared" si="1"/>
        <v>UK</v>
      </c>
      <c r="I20" s="15" t="s">
        <v>83</v>
      </c>
      <c r="J20" s="16"/>
    </row>
    <row r="21" spans="1:10" ht="15" x14ac:dyDescent="0.2">
      <c r="A21" s="9" t="s">
        <v>84</v>
      </c>
      <c r="B21" s="9" t="s">
        <v>85</v>
      </c>
      <c r="C21" s="9" t="s">
        <v>86</v>
      </c>
      <c r="D21" s="11">
        <v>200</v>
      </c>
      <c r="E21" s="9">
        <v>10</v>
      </c>
      <c r="F21" s="9" t="s">
        <v>32</v>
      </c>
      <c r="G21" s="14">
        <f t="shared" si="0"/>
        <v>46248</v>
      </c>
      <c r="H21" s="15" t="str">
        <f t="shared" si="1"/>
        <v>US</v>
      </c>
      <c r="I21" s="15" t="s">
        <v>87</v>
      </c>
      <c r="J21" s="16"/>
    </row>
    <row r="22" spans="1:10" ht="15" x14ac:dyDescent="0.2">
      <c r="A22" s="8" t="s">
        <v>88</v>
      </c>
      <c r="B22" s="8" t="s">
        <v>89</v>
      </c>
      <c r="C22" s="8" t="s">
        <v>90</v>
      </c>
      <c r="D22" s="10">
        <v>700</v>
      </c>
      <c r="E22" s="8">
        <v>50</v>
      </c>
      <c r="F22" s="8" t="s">
        <v>13</v>
      </c>
      <c r="G22" s="14">
        <f t="shared" si="0"/>
        <v>46156</v>
      </c>
      <c r="H22" s="15" t="str">
        <f t="shared" si="1"/>
        <v>RU</v>
      </c>
      <c r="I22" s="15" t="s">
        <v>91</v>
      </c>
      <c r="J22" s="16"/>
    </row>
    <row r="23" spans="1:10" ht="15" x14ac:dyDescent="0.2">
      <c r="A23" s="9" t="s">
        <v>92</v>
      </c>
      <c r="B23" s="9" t="s">
        <v>93</v>
      </c>
      <c r="C23" s="9" t="s">
        <v>94</v>
      </c>
      <c r="D23" s="11">
        <v>80</v>
      </c>
      <c r="E23" s="9">
        <v>20</v>
      </c>
      <c r="F23" s="9" t="s">
        <v>23</v>
      </c>
      <c r="G23" s="14">
        <f t="shared" si="0"/>
        <v>46031</v>
      </c>
      <c r="H23" s="15" t="str">
        <f t="shared" si="1"/>
        <v>CA</v>
      </c>
      <c r="I23" s="15" t="s">
        <v>95</v>
      </c>
      <c r="J23" s="16"/>
    </row>
    <row r="24" spans="1:10" ht="15" x14ac:dyDescent="0.2">
      <c r="A24" s="8" t="s">
        <v>96</v>
      </c>
      <c r="B24" s="8" t="s">
        <v>97</v>
      </c>
      <c r="C24" s="8" t="s">
        <v>98</v>
      </c>
      <c r="D24" s="10">
        <v>150</v>
      </c>
      <c r="E24" s="8">
        <v>30</v>
      </c>
      <c r="F24" s="8" t="s">
        <v>13</v>
      </c>
      <c r="G24" s="14">
        <f t="shared" si="0"/>
        <v>46222</v>
      </c>
      <c r="H24" s="15" t="str">
        <f t="shared" si="1"/>
        <v>BR</v>
      </c>
      <c r="I24" s="15" t="s">
        <v>99</v>
      </c>
      <c r="J24" s="16"/>
    </row>
    <row r="25" spans="1:10" ht="15" x14ac:dyDescent="0.2">
      <c r="A25" s="8" t="s">
        <v>100</v>
      </c>
      <c r="B25" s="8" t="s">
        <v>26</v>
      </c>
      <c r="C25" s="8" t="s">
        <v>101</v>
      </c>
      <c r="D25" s="10">
        <v>800</v>
      </c>
      <c r="E25" s="8">
        <v>45</v>
      </c>
      <c r="F25" s="8" t="s">
        <v>13</v>
      </c>
      <c r="G25" s="14">
        <f t="shared" si="0"/>
        <v>46294</v>
      </c>
      <c r="H25" s="15" t="str">
        <f t="shared" si="1"/>
        <v>CA</v>
      </c>
      <c r="I25" s="15" t="s">
        <v>102</v>
      </c>
      <c r="J25" s="16"/>
    </row>
    <row r="26" spans="1:10" ht="15" x14ac:dyDescent="0.2">
      <c r="A26" s="9" t="s">
        <v>103</v>
      </c>
      <c r="B26" s="9" t="s">
        <v>81</v>
      </c>
      <c r="C26" s="9" t="s">
        <v>104</v>
      </c>
      <c r="D26" s="11">
        <v>130</v>
      </c>
      <c r="E26" s="9">
        <v>25</v>
      </c>
      <c r="F26" s="9" t="s">
        <v>18</v>
      </c>
      <c r="G26" s="14">
        <f t="shared" si="0"/>
        <v>46176</v>
      </c>
      <c r="H26" s="15" t="str">
        <f t="shared" si="1"/>
        <v>CA</v>
      </c>
      <c r="I26" s="15" t="s">
        <v>105</v>
      </c>
      <c r="J26" s="16"/>
    </row>
    <row r="27" spans="1:10" ht="15" x14ac:dyDescent="0.2">
      <c r="A27" s="8" t="s">
        <v>106</v>
      </c>
      <c r="B27" s="8" t="s">
        <v>43</v>
      </c>
      <c r="C27" s="8" t="s">
        <v>107</v>
      </c>
      <c r="D27" s="10">
        <v>400</v>
      </c>
      <c r="E27" s="8">
        <v>40</v>
      </c>
      <c r="F27" s="8" t="s">
        <v>23</v>
      </c>
      <c r="G27" s="14">
        <f t="shared" si="0"/>
        <v>46214</v>
      </c>
      <c r="H27" s="15" t="str">
        <f t="shared" si="1"/>
        <v>CA</v>
      </c>
      <c r="I27" s="15" t="s">
        <v>108</v>
      </c>
      <c r="J27" s="16"/>
    </row>
    <row r="28" spans="1:10" ht="15" x14ac:dyDescent="0.2">
      <c r="A28" s="8" t="s">
        <v>109</v>
      </c>
      <c r="B28" s="8" t="s">
        <v>110</v>
      </c>
      <c r="C28" s="8" t="s">
        <v>111</v>
      </c>
      <c r="D28" s="10">
        <v>60</v>
      </c>
      <c r="E28" s="8">
        <v>30</v>
      </c>
      <c r="F28" s="8" t="s">
        <v>18</v>
      </c>
      <c r="G28" s="14">
        <f t="shared" si="0"/>
        <v>46088</v>
      </c>
      <c r="H28" s="15" t="str">
        <f t="shared" si="1"/>
        <v>CA</v>
      </c>
      <c r="I28" s="15" t="s">
        <v>68</v>
      </c>
      <c r="J28" s="16"/>
    </row>
    <row r="29" spans="1:10" ht="15" x14ac:dyDescent="0.2">
      <c r="A29" s="9" t="s">
        <v>112</v>
      </c>
      <c r="B29" s="9" t="s">
        <v>113</v>
      </c>
      <c r="C29" s="9" t="s">
        <v>114</v>
      </c>
      <c r="D29" s="11">
        <v>40</v>
      </c>
      <c r="E29" s="9">
        <v>10</v>
      </c>
      <c r="F29" s="9" t="s">
        <v>23</v>
      </c>
      <c r="G29" s="14">
        <f t="shared" si="0"/>
        <v>46125</v>
      </c>
      <c r="H29" s="15" t="str">
        <f t="shared" si="1"/>
        <v>CA</v>
      </c>
      <c r="I29" s="15" t="s">
        <v>115</v>
      </c>
      <c r="J29" s="16"/>
    </row>
    <row r="30" spans="1:10" ht="15" x14ac:dyDescent="0.2">
      <c r="A30" s="8" t="s">
        <v>116</v>
      </c>
      <c r="B30" s="8" t="s">
        <v>97</v>
      </c>
      <c r="C30" s="8" t="s">
        <v>117</v>
      </c>
      <c r="D30" s="10">
        <v>130</v>
      </c>
      <c r="E30" s="8">
        <v>5</v>
      </c>
      <c r="F30" s="8" t="s">
        <v>13</v>
      </c>
      <c r="G30" s="14">
        <f t="shared" si="0"/>
        <v>46166</v>
      </c>
      <c r="H30" s="15" t="str">
        <f t="shared" si="1"/>
        <v>CA</v>
      </c>
      <c r="I30" s="15" t="s">
        <v>118</v>
      </c>
      <c r="J30" s="16"/>
    </row>
    <row r="31" spans="1:10" ht="15" x14ac:dyDescent="0.2">
      <c r="A31" s="9" t="s">
        <v>119</v>
      </c>
      <c r="B31" s="9" t="s">
        <v>120</v>
      </c>
      <c r="C31" s="9" t="s">
        <v>121</v>
      </c>
      <c r="D31" s="11">
        <v>50</v>
      </c>
      <c r="E31" s="9">
        <v>50</v>
      </c>
      <c r="F31" s="9" t="s">
        <v>18</v>
      </c>
      <c r="G31" s="14">
        <f t="shared" si="0"/>
        <v>46358</v>
      </c>
      <c r="H31" s="15" t="str">
        <f t="shared" si="1"/>
        <v>CA</v>
      </c>
      <c r="I31" s="15" t="s">
        <v>122</v>
      </c>
      <c r="J31" s="16"/>
    </row>
    <row r="32" spans="1:10" ht="15" x14ac:dyDescent="0.2">
      <c r="A32" s="9" t="s">
        <v>123</v>
      </c>
      <c r="B32" s="9" t="s">
        <v>124</v>
      </c>
      <c r="C32" s="9" t="s">
        <v>125</v>
      </c>
      <c r="D32" s="11">
        <v>100</v>
      </c>
      <c r="E32" s="9">
        <v>20</v>
      </c>
      <c r="F32" s="9" t="s">
        <v>72</v>
      </c>
      <c r="G32" s="14">
        <f t="shared" si="0"/>
        <v>46212</v>
      </c>
      <c r="H32" s="15" t="str">
        <f t="shared" si="1"/>
        <v>FR</v>
      </c>
      <c r="I32" s="15" t="s">
        <v>126</v>
      </c>
      <c r="J32" s="16"/>
    </row>
    <row r="33" spans="7:10" ht="15" x14ac:dyDescent="0.2">
      <c r="G33" s="14"/>
      <c r="H33" s="15"/>
      <c r="I33" s="15"/>
      <c r="J33" s="16"/>
    </row>
    <row r="34" spans="7:10" x14ac:dyDescent="0.2">
      <c r="G34" t="str">
        <f>LEFT(A34,6)</f>
        <v/>
      </c>
    </row>
  </sheetData>
  <conditionalFormatting sqref="A1:A32">
    <cfRule type="duplicateValues" dxfId="1" priority="1"/>
  </conditionalFormatting>
  <conditionalFormatting sqref="D2:D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{50DC5C1F-19EA-43F7-BA8B-6E9EFBAB89C8}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{B5A38462-2E84-418F-84EA-A127CC99C447}</x14:id>
        </ext>
      </extLst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{4E3A8E65-4181-41A3-B4F4-D160F745A2DE}</x14:id>
        </ext>
      </extLst>
    </cfRule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{090CB74D-FDD5-4327-9D07-9681AB79927F}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{01FD5EC2-AE26-4198-A816-182A10158FBB}</x14:id>
        </ext>
      </extLst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{B72893C9-32AE-4325-A4D8-4DF98261C437}</x14:id>
        </ext>
      </extLst>
    </cfRule>
  </conditionalFormatting>
  <conditionalFormatting sqref="F2:F32 F34">
    <cfRule type="containsText" dxfId="0" priority="2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DC5C1F-19EA-43F7-BA8B-6E9EFBAB8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A38462-2E84-418F-84EA-A127CC99C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3A8E65-4181-41A3-B4F4-D160F745A2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0CB74D-FDD5-4327-9D07-9681AB7992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14:cfRule type="dataBar" id="{01FD5EC2-AE26-4198-A816-182A10158F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2893C9-32AE-4325-A4D8-4DF98261C43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69E0-C1F0-427F-B246-5DA1AE9D9D54}">
  <dimension ref="A2:W42"/>
  <sheetViews>
    <sheetView workbookViewId="0">
      <selection activeCell="I23" sqref="I23"/>
    </sheetView>
  </sheetViews>
  <sheetFormatPr defaultRowHeight="12.75" x14ac:dyDescent="0.2"/>
  <sheetData>
    <row r="2" spans="1:23" ht="15.75" x14ac:dyDescent="0.25">
      <c r="A2" s="22" t="s">
        <v>127</v>
      </c>
      <c r="B2" s="22"/>
      <c r="C2" s="22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8"/>
      <c r="U2" s="18"/>
      <c r="V2" s="18"/>
      <c r="W2" s="18"/>
    </row>
    <row r="3" spans="1:23" ht="15.75" x14ac:dyDescent="0.25">
      <c r="A3" s="19" t="s">
        <v>128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8"/>
      <c r="U3" s="18"/>
      <c r="V3" s="18"/>
      <c r="W3" s="18"/>
    </row>
    <row r="4" spans="1:23" ht="15.75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8"/>
      <c r="U4" s="18"/>
      <c r="V4" s="18"/>
      <c r="W4" s="18"/>
    </row>
    <row r="5" spans="1:23" ht="15.75" x14ac:dyDescent="0.25">
      <c r="A5" s="22" t="s">
        <v>129</v>
      </c>
      <c r="B5" s="22"/>
      <c r="C5" s="22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8"/>
      <c r="U5" s="18"/>
      <c r="V5" s="18"/>
      <c r="W5" s="18"/>
    </row>
    <row r="6" spans="1:23" ht="15.75" x14ac:dyDescent="0.25">
      <c r="A6" s="19" t="s">
        <v>130</v>
      </c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8"/>
      <c r="U6" s="18"/>
      <c r="V6" s="18"/>
      <c r="W6" s="18"/>
    </row>
    <row r="7" spans="1:23" ht="15.75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8"/>
      <c r="U7" s="18"/>
      <c r="V7" s="18"/>
      <c r="W7" s="18"/>
    </row>
    <row r="8" spans="1:23" ht="15.75" x14ac:dyDescent="0.25">
      <c r="A8" s="22" t="s">
        <v>131</v>
      </c>
      <c r="B8" s="22"/>
      <c r="C8" s="22"/>
      <c r="D8" s="22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8"/>
      <c r="U8" s="18"/>
      <c r="V8" s="18"/>
      <c r="W8" s="18"/>
    </row>
    <row r="9" spans="1:23" ht="15.75" x14ac:dyDescent="0.25">
      <c r="A9" s="19" t="s">
        <v>132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8"/>
      <c r="U9" s="18"/>
      <c r="V9" s="18"/>
      <c r="W9" s="18"/>
    </row>
    <row r="10" spans="1:23" ht="15.7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8"/>
      <c r="U10" s="18"/>
      <c r="V10" s="18"/>
      <c r="W10" s="18"/>
    </row>
    <row r="11" spans="1:23" ht="15.75" x14ac:dyDescent="0.25">
      <c r="A11" s="22" t="s">
        <v>133</v>
      </c>
      <c r="B11" s="22"/>
      <c r="C11" s="22"/>
      <c r="D11" s="22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8"/>
      <c r="U11" s="18"/>
      <c r="V11" s="18"/>
      <c r="W11" s="18"/>
    </row>
    <row r="12" spans="1:23" ht="15.75" x14ac:dyDescent="0.25">
      <c r="A12" s="19" t="s">
        <v>134</v>
      </c>
      <c r="B12" s="21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8"/>
      <c r="U12" s="18"/>
      <c r="V12" s="18"/>
      <c r="W12" s="18"/>
    </row>
    <row r="13" spans="1:23" ht="15.75" x14ac:dyDescent="0.25">
      <c r="A13" s="19" t="s">
        <v>135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8"/>
      <c r="U13" s="18"/>
      <c r="V13" s="18"/>
      <c r="W13" s="18"/>
    </row>
    <row r="14" spans="1:23" ht="15.75" x14ac:dyDescent="0.25">
      <c r="A14" s="19" t="s">
        <v>136</v>
      </c>
      <c r="B14" s="2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8"/>
      <c r="U14" s="18"/>
      <c r="V14" s="18"/>
      <c r="W14" s="18"/>
    </row>
    <row r="15" spans="1:23" ht="15.7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/>
      <c r="U15" s="18"/>
      <c r="V15" s="18"/>
      <c r="W15" s="18"/>
    </row>
    <row r="16" spans="1:23" ht="15.75" x14ac:dyDescent="0.25">
      <c r="A16" s="22" t="s">
        <v>137</v>
      </c>
      <c r="B16" s="22"/>
      <c r="C16" s="22"/>
      <c r="D16" s="2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8"/>
      <c r="U16" s="18"/>
      <c r="V16" s="18"/>
      <c r="W16" s="18"/>
    </row>
    <row r="17" spans="1:23" ht="15.75" x14ac:dyDescent="0.25">
      <c r="A17" s="19" t="s">
        <v>138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8"/>
      <c r="U17" s="18"/>
      <c r="V17" s="18"/>
      <c r="W17" s="18"/>
    </row>
    <row r="18" spans="1:23" ht="15.75" x14ac:dyDescent="0.25">
      <c r="A18" s="19" t="s">
        <v>139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8"/>
      <c r="U18" s="18"/>
      <c r="V18" s="18"/>
      <c r="W18" s="18"/>
    </row>
    <row r="19" spans="1:23" ht="15.75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8"/>
      <c r="U19" s="18"/>
      <c r="V19" s="18"/>
      <c r="W19" s="18"/>
    </row>
    <row r="20" spans="1:23" ht="15.75" x14ac:dyDescent="0.25">
      <c r="A20" s="22" t="s">
        <v>140</v>
      </c>
      <c r="B20" s="22"/>
      <c r="C20" s="22"/>
      <c r="D20" s="22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8"/>
      <c r="U20" s="18"/>
      <c r="V20" s="18"/>
      <c r="W20" s="18"/>
    </row>
    <row r="21" spans="1:23" ht="15.75" x14ac:dyDescent="0.25">
      <c r="A21" s="19" t="s">
        <v>141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8"/>
      <c r="U21" s="18"/>
      <c r="V21" s="18"/>
      <c r="W21" s="18"/>
    </row>
    <row r="22" spans="1:23" ht="15.7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8"/>
      <c r="U22" s="18"/>
      <c r="V22" s="18"/>
      <c r="W22" s="18"/>
    </row>
    <row r="23" spans="1:23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9" spans="1:23" ht="17.25" x14ac:dyDescent="0.25">
      <c r="B29" s="17"/>
    </row>
    <row r="30" spans="1:23" x14ac:dyDescent="0.2">
      <c r="B30" s="18"/>
    </row>
    <row r="33" spans="2:2" x14ac:dyDescent="0.2">
      <c r="B33" s="18"/>
    </row>
    <row r="38" spans="2:2" ht="17.25" x14ac:dyDescent="0.25">
      <c r="B38" s="17"/>
    </row>
    <row r="39" spans="2:2" x14ac:dyDescent="0.2">
      <c r="B39" s="18"/>
    </row>
    <row r="42" spans="2:2" x14ac:dyDescent="0.2">
      <c r="B4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Cleaning</vt:lpstr>
      <vt:lpstr>Observation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Sivasri S</cp:lastModifiedBy>
  <cp:revision/>
  <dcterms:created xsi:type="dcterms:W3CDTF">2026-06-20T16:49:40Z</dcterms:created>
  <dcterms:modified xsi:type="dcterms:W3CDTF">2026-07-01T10:16:21Z</dcterms:modified>
  <cp:category/>
  <cp:contentStatus/>
</cp:coreProperties>
</file>